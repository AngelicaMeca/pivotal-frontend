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 Analisis" sheetId="2" r:id="rId1"/>
    <sheet name="9 PB 3 - A" sheetId="3" r:id="rId2"/>
    <sheet name="9 PB 3 - B" sheetId="4" r:id="rId3"/>
    <sheet name="9 PB 3 - C" sheetId="5" r:id="rId4"/>
    <sheet name="Calculos Ranking" sheetId="6" r:id="rId5"/>
    <sheet name="Hoja1" sheetId="1" r:id="rId6"/>
  </sheets>
  <definedNames>
    <definedName name="_xlnm._FilterDatabase" localSheetId="1" hidden="1">'9 PB 3 - A'!$A$1:$J$2533</definedName>
    <definedName name="_xlnm._FilterDatabase" localSheetId="2" hidden="1">'9 PB 3 - B'!$A$1:$J$1</definedName>
    <definedName name="_xlnm._FilterDatabase" localSheetId="3" hidden="1">'9 PB 3 - C'!$A$1:$G$1</definedName>
    <definedName name="_xlnm._FilterDatabase" localSheetId="4" hidden="1">'Calculos Ranking'!$A$1:$I$274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9" i="6" l="1"/>
  <c r="M99" i="6"/>
  <c r="L125" i="6"/>
  <c r="M125" i="6"/>
  <c r="L151" i="6"/>
  <c r="M151" i="6"/>
  <c r="L179" i="6"/>
  <c r="M179" i="6"/>
  <c r="L205" i="6"/>
  <c r="M205" i="6"/>
  <c r="L234" i="6"/>
  <c r="M234" i="6"/>
  <c r="L263" i="6"/>
  <c r="M263" i="6"/>
  <c r="L292" i="6"/>
  <c r="M292" i="6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I61" i="2"/>
  <c r="I62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I82" i="2" s="1"/>
  <c r="J79" i="2"/>
  <c r="J82" i="2" s="1"/>
  <c r="I81" i="2"/>
  <c r="J81" i="2"/>
</calcChain>
</file>

<file path=xl/sharedStrings.xml><?xml version="1.0" encoding="utf-8"?>
<sst xmlns="http://schemas.openxmlformats.org/spreadsheetml/2006/main" count="14023" uniqueCount="265">
  <si>
    <t>2025/26</t>
  </si>
  <si>
    <t>Garbanzo</t>
  </si>
  <si>
    <t>invierno</t>
  </si>
  <si>
    <t>2024/25</t>
  </si>
  <si>
    <t>2023/24</t>
  </si>
  <si>
    <t>2022/23</t>
  </si>
  <si>
    <t>2021/22</t>
  </si>
  <si>
    <t>2020/21</t>
  </si>
  <si>
    <t>2019/20</t>
  </si>
  <si>
    <t>2018/19</t>
  </si>
  <si>
    <t>Colza</t>
  </si>
  <si>
    <t>Centeno</t>
  </si>
  <si>
    <t>2017/18</t>
  </si>
  <si>
    <t>Cebada total</t>
  </si>
  <si>
    <t>2016/17</t>
  </si>
  <si>
    <t>Cártamo</t>
  </si>
  <si>
    <t>Avena</t>
  </si>
  <si>
    <t>2015/16</t>
  </si>
  <si>
    <t>2014/15</t>
  </si>
  <si>
    <t>Trigo total</t>
  </si>
  <si>
    <t>2013/14</t>
  </si>
  <si>
    <t>Trigo candeal</t>
  </si>
  <si>
    <t>23°</t>
  </si>
  <si>
    <t>25°</t>
  </si>
  <si>
    <t>26°</t>
  </si>
  <si>
    <t>SARMIENTO</t>
  </si>
  <si>
    <t>S/D</t>
  </si>
  <si>
    <t>ATAMISQUI</t>
  </si>
  <si>
    <t>24°</t>
  </si>
  <si>
    <t>QUEBRACHOS</t>
  </si>
  <si>
    <t>22°</t>
  </si>
  <si>
    <t>LORETO</t>
  </si>
  <si>
    <t>20°</t>
  </si>
  <si>
    <t>SILIPICA</t>
  </si>
  <si>
    <t>19°</t>
  </si>
  <si>
    <t>13°</t>
  </si>
  <si>
    <t>21°</t>
  </si>
  <si>
    <t>AVELLANEDA</t>
  </si>
  <si>
    <t>FIGUEROA</t>
  </si>
  <si>
    <t>17°</t>
  </si>
  <si>
    <t>18°</t>
  </si>
  <si>
    <t>CAPITAL</t>
  </si>
  <si>
    <t>ROBLES</t>
  </si>
  <si>
    <t>16°</t>
  </si>
  <si>
    <t>BANDA</t>
  </si>
  <si>
    <t>15°</t>
  </si>
  <si>
    <t>OJO DE AGUA</t>
  </si>
  <si>
    <t>14°</t>
  </si>
  <si>
    <t>CHOYA</t>
  </si>
  <si>
    <t>11°</t>
  </si>
  <si>
    <t>10°</t>
  </si>
  <si>
    <t>COPO</t>
  </si>
  <si>
    <t>SAN MARTIN</t>
  </si>
  <si>
    <t>12°</t>
  </si>
  <si>
    <t>GUASAYAN</t>
  </si>
  <si>
    <t>COMPLETAR POR SISTEMA</t>
  </si>
  <si>
    <t>MITRE</t>
  </si>
  <si>
    <t>9°</t>
  </si>
  <si>
    <t>RIVADAVIA</t>
  </si>
  <si>
    <t>3°</t>
  </si>
  <si>
    <t>4°</t>
  </si>
  <si>
    <t>7°</t>
  </si>
  <si>
    <t>ALBERDI</t>
  </si>
  <si>
    <t>8°</t>
  </si>
  <si>
    <t>AGUIRRE</t>
  </si>
  <si>
    <t>RIO HONDO</t>
  </si>
  <si>
    <t>5°</t>
  </si>
  <si>
    <t>6°</t>
  </si>
  <si>
    <t>PELLEGRINI</t>
  </si>
  <si>
    <t>JUAN F. IBARRA</t>
  </si>
  <si>
    <t>JIMENEZ</t>
  </si>
  <si>
    <t>1°</t>
  </si>
  <si>
    <t>MORENO</t>
  </si>
  <si>
    <t>2°</t>
  </si>
  <si>
    <t>BELGRANO</t>
  </si>
  <si>
    <t>GENERAL TABOADA</t>
  </si>
  <si>
    <t>2015/14</t>
  </si>
  <si>
    <t>2016/15</t>
  </si>
  <si>
    <t>2017/16</t>
  </si>
  <si>
    <t>2018/17</t>
  </si>
  <si>
    <t>2019/18</t>
  </si>
  <si>
    <t>2020/19</t>
  </si>
  <si>
    <t>Departamento</t>
  </si>
  <si>
    <t xml:space="preserve">Ranking Producción de soja por departamento - Campañas 2014/15 a 2024/25 </t>
  </si>
  <si>
    <t>Ranking</t>
  </si>
  <si>
    <t>Promedio 3 camp</t>
  </si>
  <si>
    <t>Ranking de rendimientos de SOJA por departamento promedio últimas 3 campañas (en kg/ha)</t>
  </si>
  <si>
    <t>ACA EJEMPLO DE RANGING DE SOJA (RESTARIA EL RANKING POR EL TOTAL DE CULTIVOS, PERO EL PRINCIPIO ES EL MISMO)</t>
  </si>
  <si>
    <t>Un tercer tipo de ranking tomará el promedio de rendimientos DE LAS ULTIMAS 3 CAMPAÑAS.</t>
  </si>
  <si>
    <t>Se elaborarán 2 tipos de Ranking: por cultivo y el total producido (verano + invierno)</t>
  </si>
  <si>
    <t>RANKING DEPARTAMENTAL DE CULTIVOS EXTENSIVOS</t>
  </si>
  <si>
    <t xml:space="preserve">CUANDO SE INCORPOREN LAS BASES DE ACTIVIDADES GANADERAS, DATOS GENERALES, ECONOMICOS, ETC. SE "INTEGRARÁN" EN LA VISUALIZACIÓN DEPARTAMENTAL </t>
  </si>
  <si>
    <t>También se colocará una tabla con la posición del departamento en el RANKING de cultivos en cada campaña</t>
  </si>
  <si>
    <t>Los datos se visualizarán a través de GRAF 1 y GRAF 2</t>
  </si>
  <si>
    <t>A partir de seleccionar los cultivos del menú (que yo sugeriría colocar DEBAJO del gráfico) podrán verse los datos de cada uno de ellos</t>
  </si>
  <si>
    <t>Hay que prever agregar llamadas con icono de pregunta para aclaraciones técnicas o metodológicas.</t>
  </si>
  <si>
    <t>Desde el mapa de la provincia, se selecccionará el departamento a visualizar y se desplegará un listado de cultivos del departamento y GRAF 3 - VERANO E INVIERNO Y TOTALES EN LA VARIABLE PRODUCCIÓN.</t>
  </si>
  <si>
    <t>FORMATO POR DEPARTAMENTO</t>
  </si>
  <si>
    <r>
      <rPr>
        <b/>
        <i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Magyp</t>
    </r>
  </si>
  <si>
    <t>más representativo de la participación de Santiago</t>
  </si>
  <si>
    <t>Había pensado en la variante de un mapa del NOA con porcentajes, pero esto es, por lejos</t>
  </si>
  <si>
    <t>Sgo. del Estero</t>
  </si>
  <si>
    <t>Tucumán</t>
  </si>
  <si>
    <t>Salta</t>
  </si>
  <si>
    <t>Jujuy</t>
  </si>
  <si>
    <t>Catamarca</t>
  </si>
  <si>
    <t>Producción soja (tn</t>
  </si>
  <si>
    <t>Poner líneas guía en Catamarca y Jujuy</t>
  </si>
  <si>
    <t>Producción de soja en NOA - participación por provincia - Campaña 2024/25 - en %</t>
  </si>
  <si>
    <t>GRAF 5</t>
  </si>
  <si>
    <t>QUE SE MUESTREN LOS % CON MOUSEOVER</t>
  </si>
  <si>
    <t>GRAF 4</t>
  </si>
  <si>
    <t>DEBE HACERSE LO MISMO PARA CULTIVOS INVIERNO</t>
  </si>
  <si>
    <t>QUE SE MUESTREN LOS VALORES CON MOUSEOVER</t>
  </si>
  <si>
    <t>VER COMBINACIÓN DE COLORES</t>
  </si>
  <si>
    <t>GRAF 3</t>
  </si>
  <si>
    <t>Poroto</t>
  </si>
  <si>
    <t>Sorgo</t>
  </si>
  <si>
    <t>Soja</t>
  </si>
  <si>
    <t>Maíz</t>
  </si>
  <si>
    <t>Girasol</t>
  </si>
  <si>
    <t>Algodón</t>
  </si>
  <si>
    <t>Produccion</t>
  </si>
  <si>
    <t>Var. Anual Pr.</t>
  </si>
  <si>
    <t>VERANO</t>
  </si>
  <si>
    <t>Var. total</t>
  </si>
  <si>
    <t>Rend. (kg/ha)</t>
  </si>
  <si>
    <t>Producc (tn)</t>
  </si>
  <si>
    <t>Campaña</t>
  </si>
  <si>
    <t>Rendimiento (Kg/Ha)</t>
  </si>
  <si>
    <t>Producción (Tn)</t>
  </si>
  <si>
    <t>Santiago del Estero - Evolución de la producción y rendimientos de soja - Campañas 13/14 a 24/25</t>
  </si>
  <si>
    <t>GRAF 2</t>
  </si>
  <si>
    <t>AGREGAR BOTÓN DE "VER DETALLE" PARA SOJA DE 1a y 2da</t>
  </si>
  <si>
    <t>Sup. Cosechada (Ha)</t>
  </si>
  <si>
    <t>Sup. Sembrada (Ha)</t>
  </si>
  <si>
    <t>ha</t>
  </si>
  <si>
    <t>Santiago del Estero - Evolución de la superficie sembrada de soja, en ha. Campañas 13/14 a 24/25</t>
  </si>
  <si>
    <t>GRAF 1</t>
  </si>
  <si>
    <t>Para otros tipos de gráficos, se incorporarán oportunamente, POR EJEMPLO SERIES DE PRECIOS</t>
  </si>
  <si>
    <t>Los formatos de gráficos se mantienen SIEMPRE en todos los casos de datos, así como la uniformidad de colores y estilos (sino sería un carnaval)</t>
  </si>
  <si>
    <t>Van los mismos tipos de gráficos para TODOS LOS CULTIVOS Y PARA LAS OPCIONES GEOGRÁFICAS</t>
  </si>
  <si>
    <t>NOTAS SOBRE LOS GRÁFICOS Y TABLAS</t>
  </si>
  <si>
    <t>TABLAS Y GRAFICOS</t>
  </si>
  <si>
    <r>
      <rPr>
        <b/>
        <sz val="11"/>
        <color theme="1"/>
        <rFont val="Calibri"/>
        <family val="2"/>
        <scheme val="minor"/>
      </rPr>
      <t>VBP - Valor Bruto de la Producción</t>
    </r>
    <r>
      <rPr>
        <sz val="11"/>
        <color theme="1"/>
        <rFont val="Calibri"/>
        <family val="2"/>
        <scheme val="minor"/>
      </rPr>
      <t xml:space="preserve"> - PPP x producción (</t>
    </r>
    <r>
      <rPr>
        <b/>
        <sz val="11"/>
        <color rgb="FFFF0000"/>
        <rFont val="Calibri"/>
        <family val="2"/>
        <scheme val="minor"/>
      </rPr>
      <t>LO VAMOS A COLOCAR LUEGO DE QUE ARME LA BASE DE PRECIOS Y FLETES</t>
    </r>
    <r>
      <rPr>
        <sz val="11"/>
        <color theme="1"/>
        <rFont val="Calibri"/>
        <family val="2"/>
        <scheme val="minor"/>
      </rPr>
      <t>)</t>
    </r>
  </si>
  <si>
    <t>f)</t>
  </si>
  <si>
    <r>
      <rPr>
        <b/>
        <sz val="11"/>
        <color theme="1"/>
        <rFont val="Calibri"/>
        <family val="2"/>
        <scheme val="minor"/>
      </rPr>
      <t>Participaciones porcentuales 2</t>
    </r>
    <r>
      <rPr>
        <sz val="11"/>
        <color theme="1"/>
        <rFont val="Calibri"/>
        <family val="2"/>
        <scheme val="minor"/>
      </rPr>
      <t>: Sgo del estero en el NOA y en el pais</t>
    </r>
  </si>
  <si>
    <t>e)</t>
  </si>
  <si>
    <r>
      <rPr>
        <b/>
        <sz val="11"/>
        <color theme="1"/>
        <rFont val="Calibri"/>
        <family val="2"/>
        <scheme val="minor"/>
      </rPr>
      <t>Participaciones porcentuales</t>
    </r>
    <r>
      <rPr>
        <sz val="11"/>
        <color theme="1"/>
        <rFont val="Calibri"/>
        <family val="2"/>
        <scheme val="minor"/>
      </rPr>
      <t>: Según ya se expresara en los textos arriba expresados. Generadas en los gráficos</t>
    </r>
  </si>
  <si>
    <t>d)</t>
  </si>
  <si>
    <r>
      <rPr>
        <b/>
        <sz val="11"/>
        <color theme="1"/>
        <rFont val="Calibri"/>
        <family val="2"/>
        <scheme val="minor"/>
      </rPr>
      <t>Variación de rendimientos</t>
    </r>
    <r>
      <rPr>
        <sz val="11"/>
        <color theme="1"/>
        <rFont val="Calibri"/>
        <family val="2"/>
        <scheme val="minor"/>
      </rPr>
      <t>: Variación porcentual entre extremos de la serie y variación promedio (la más importante)</t>
    </r>
  </si>
  <si>
    <t>c)</t>
  </si>
  <si>
    <r>
      <rPr>
        <b/>
        <sz val="11"/>
        <color theme="1"/>
        <rFont val="Calibri"/>
        <family val="2"/>
        <scheme val="minor"/>
      </rPr>
      <t>Variación decádica</t>
    </r>
    <r>
      <rPr>
        <sz val="11"/>
        <color theme="1"/>
        <rFont val="Calibri"/>
        <family val="2"/>
        <scheme val="minor"/>
      </rPr>
      <t>: Variación porcentual entre la primera y última campaña, para los casos de consultas de "todas las campañas" y sólo para las variables SUPERFICIE SEMBRADA y PRODUCCIÓN</t>
    </r>
  </si>
  <si>
    <t>b)</t>
  </si>
  <si>
    <r>
      <rPr>
        <b/>
        <sz val="11"/>
        <color theme="1"/>
        <rFont val="Calibri"/>
        <family val="2"/>
        <scheme val="minor"/>
      </rPr>
      <t>Variación anual</t>
    </r>
    <r>
      <rPr>
        <sz val="11"/>
        <color theme="1"/>
        <rFont val="Calibri"/>
        <family val="2"/>
        <scheme val="minor"/>
      </rPr>
      <t>: Variación porcentual para los casos de consultas de "todas las campañas" y sólo para las variables SUPERFICIE SEMBRADA y PRODUCCIÓN</t>
    </r>
  </si>
  <si>
    <t>a)</t>
  </si>
  <si>
    <t>CALCULOS A REALIZAR</t>
  </si>
  <si>
    <t>Por ejemplo, en soja hay que poner un botón de "ver detalle" y a través de GRAF 3 ver cuanto de soja de 1a y de 2da hay para cada caso (o poroto o trigo)</t>
  </si>
  <si>
    <t>PORQUE SINO, ESTARÍAS DUPLICANDO LAS CANTIDADES !!!! Lo mismo para "poroto" y Trigo (por eso tenés "trigo total" y "poroto total" o la Cebada.</t>
  </si>
  <si>
    <t>PARA LOS GRAFICOS Y TOTALES DEBEN TOMARSE SOLAMENTE EL QUE DICE "TOTAL" - Ejemplo: Está "soja de 1a y soja de 2da" DEBE TOMARSE SOJA TOTAL Y NO SUMAR TODO!!!!</t>
  </si>
  <si>
    <t>MUY IMPORTANTE!!!!!!!!!</t>
  </si>
  <si>
    <t>Ranking de departamentos por cultivo (produccion y rendimiento)</t>
  </si>
  <si>
    <t>RANKING PROV</t>
  </si>
  <si>
    <t>Sólo superficies y producción. También podrán consultarse la evolución de los rendimientos.</t>
  </si>
  <si>
    <t xml:space="preserve">Opción de "cartera de cultivos":  se mostrará la composición porcentual de los cultivos de verano y de invierno de la última campaña. Ver "todas las campañas" o seleccionar alguna en particular. </t>
  </si>
  <si>
    <t>o seleccionar otra en particular</t>
  </si>
  <si>
    <t>Tocando click en cada departamento, éste se abre (pop up u otra página?) y muestra toda la información del cultivo de la última campaña. Se mostrará la Opción de "ver todas las campañas"</t>
  </si>
  <si>
    <t>POR DEPART.</t>
  </si>
  <si>
    <t>Abajo van muestras de los tipos de gráficos a emplear</t>
  </si>
  <si>
    <t>Se podrá seleccionar por campaña de un menú desplegable</t>
  </si>
  <si>
    <t>El total provincial se mostrará en la parte inferior. Opción de "ver todas las campañas" llevará a gráficos de evolución sin ver el mapa (pop up u otra página?) SIEMPRE ULTIMA CAMPAÑA</t>
  </si>
  <si>
    <t>CON MAPA y Selección de una lista (lista "plana" o menú desplegable, lo vemos) y mostrará los datos por departamento en Superficie sembrada. Al hacer mouseover, mostrará los otros 3 datos</t>
  </si>
  <si>
    <t>POR CULTIVO</t>
  </si>
  <si>
    <t xml:space="preserve">Modos visualización: </t>
  </si>
  <si>
    <t>b) Total x depart.</t>
  </si>
  <si>
    <t>a) Total provincia</t>
  </si>
  <si>
    <t>Unidades geográficas:</t>
  </si>
  <si>
    <t>Existen cultivos de verano y cultivos de invierno (cosecha "gruesa" y "fina") cuando se saquen porcentajes de participación, DEBEN SER SEPARADAS (sino la suma será mayor al todo)</t>
  </si>
  <si>
    <t>Observaciones:</t>
  </si>
  <si>
    <t>Si bien la serie es de más de 30 años, a efectos del demo sólo tomaremos 10 campañas</t>
  </si>
  <si>
    <t>Período:</t>
  </si>
  <si>
    <t>Campaña (se expresa designando 2 años seguidos, por ejemplo 2025/26)</t>
  </si>
  <si>
    <t>Unid temporal</t>
  </si>
  <si>
    <t>kg/ha</t>
  </si>
  <si>
    <t>tn</t>
  </si>
  <si>
    <t>Unidades:</t>
  </si>
  <si>
    <t>Rendimientos</t>
  </si>
  <si>
    <t>Producción</t>
  </si>
  <si>
    <t>Sup Cosechada</t>
  </si>
  <si>
    <t>Sup. Sembrada</t>
  </si>
  <si>
    <t>Variables:</t>
  </si>
  <si>
    <t>BASE DE CULTIVOS EXTENSIVOS</t>
  </si>
  <si>
    <t>Total provincia</t>
  </si>
  <si>
    <t>SANTIAGO DEL ESTERO</t>
  </si>
  <si>
    <t>Soja total</t>
  </si>
  <si>
    <t>Soja 2da</t>
  </si>
  <si>
    <t>2000/01</t>
  </si>
  <si>
    <t>Soja 1ra</t>
  </si>
  <si>
    <t>Poroto otros</t>
  </si>
  <si>
    <t>Poroto negro</t>
  </si>
  <si>
    <t>Poroto total</t>
  </si>
  <si>
    <t>Maní</t>
  </si>
  <si>
    <t>Lenteja</t>
  </si>
  <si>
    <t>idDepartamento</t>
  </si>
  <si>
    <t>idProvincia</t>
  </si>
  <si>
    <t>Provincia</t>
  </si>
  <si>
    <t>Cultivo</t>
  </si>
  <si>
    <t>SANTA ROSA</t>
  </si>
  <si>
    <t>CATAMARCA</t>
  </si>
  <si>
    <t>EL ALTO</t>
  </si>
  <si>
    <t>CAPAYAN</t>
  </si>
  <si>
    <t>VALLE VIEJO</t>
  </si>
  <si>
    <t>LA PAZ</t>
  </si>
  <si>
    <t>VALLE GRANDE</t>
  </si>
  <si>
    <t>JUJUY</t>
  </si>
  <si>
    <t>SANTA BARBARA</t>
  </si>
  <si>
    <t>SAN PEDRO</t>
  </si>
  <si>
    <t>SAN ANTONIO</t>
  </si>
  <si>
    <t>PALPALA</t>
  </si>
  <si>
    <t>LEDESMA</t>
  </si>
  <si>
    <t>EL CARMEN</t>
  </si>
  <si>
    <t>DR. MANUEL BELGRANO</t>
  </si>
  <si>
    <t>Poroto alubia</t>
  </si>
  <si>
    <t>ROSARIO DE LERMA</t>
  </si>
  <si>
    <t>SALTA</t>
  </si>
  <si>
    <t>ROSARIO DE LA FRONTERA</t>
  </si>
  <si>
    <t>ORAN</t>
  </si>
  <si>
    <t>METAN</t>
  </si>
  <si>
    <t>LA VINA</t>
  </si>
  <si>
    <t>LA CANDELARIA</t>
  </si>
  <si>
    <t>LA CALDERA</t>
  </si>
  <si>
    <t>GENERAL JOSE DE SAN MARTIN</t>
  </si>
  <si>
    <t>GENERAL GUEMES</t>
  </si>
  <si>
    <t>CHICOANA</t>
  </si>
  <si>
    <t>CERRILLOS</t>
  </si>
  <si>
    <t>ANTA</t>
  </si>
  <si>
    <t>CACHI</t>
  </si>
  <si>
    <t>Mijo</t>
  </si>
  <si>
    <t>GUACHIPAS</t>
  </si>
  <si>
    <t>Alpiste</t>
  </si>
  <si>
    <t>YERBA BUENA</t>
  </si>
  <si>
    <t>TUCUMAN</t>
  </si>
  <si>
    <t>TAFI VIEJO</t>
  </si>
  <si>
    <t>SIMOCA</t>
  </si>
  <si>
    <t>LULES</t>
  </si>
  <si>
    <t>LEALES</t>
  </si>
  <si>
    <t>LA COCHA</t>
  </si>
  <si>
    <t>JUAN B. ALBERDI</t>
  </si>
  <si>
    <t>GRANEROS</t>
  </si>
  <si>
    <t>FAMAILLA</t>
  </si>
  <si>
    <t>CRUZ ALTA</t>
  </si>
  <si>
    <t>BURRUYACU</t>
  </si>
  <si>
    <t>TRANCAS</t>
  </si>
  <si>
    <t>RIO CHICO</t>
  </si>
  <si>
    <t>MONTEROS</t>
  </si>
  <si>
    <t>CHICLIGASTA</t>
  </si>
  <si>
    <t>TAFI DEL VALLE</t>
  </si>
  <si>
    <t>Total pais</t>
  </si>
  <si>
    <t>Lino</t>
  </si>
  <si>
    <t>Arveja</t>
  </si>
  <si>
    <t>Rendimiento</t>
  </si>
  <si>
    <t>Sup. Cosechada</t>
  </si>
  <si>
    <t>PAIS</t>
  </si>
  <si>
    <t>°</t>
  </si>
  <si>
    <t>RENDIMIENTOS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</si>
</sst>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3" fontId="0" fillId="0" borderId="0" xfId="0" applyNumberFormat="1"/>
    <xf numFmtId="0" fontId="0" fillId="0" borderId="0" xfId="0" applyFill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left"/>
    </xf>
    <xf numFmtId="3" fontId="1" fillId="0" borderId="0" xfId="0" applyNumberFormat="1" applyFont="1"/>
    <xf numFmtId="0" fontId="0" fillId="0" borderId="0" xfId="0" applyFill="1" applyAlignment="1">
      <alignment horizontal="right"/>
    </xf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center"/>
    </xf>
    <xf numFmtId="164" fontId="4" fillId="0" borderId="0" xfId="0" applyNumberFormat="1" applyFont="1" applyFill="1" applyBorder="1"/>
    <xf numFmtId="164" fontId="5" fillId="0" borderId="2" xfId="0" applyNumberFormat="1" applyFont="1" applyFill="1" applyBorder="1"/>
    <xf numFmtId="164" fontId="5" fillId="0" borderId="3" xfId="0" applyNumberFormat="1" applyFont="1" applyFill="1" applyBorder="1"/>
    <xf numFmtId="0" fontId="0" fillId="0" borderId="4" xfId="0" applyBorder="1" applyAlignment="1">
      <alignment horizontal="right"/>
    </xf>
    <xf numFmtId="164" fontId="5" fillId="0" borderId="5" xfId="0" applyNumberFormat="1" applyFont="1" applyFill="1" applyBorder="1"/>
    <xf numFmtId="164" fontId="5" fillId="0" borderId="6" xfId="0" applyNumberFormat="1" applyFont="1" applyFill="1" applyBorder="1"/>
    <xf numFmtId="0" fontId="0" fillId="0" borderId="7" xfId="0" applyBorder="1" applyAlignment="1">
      <alignment horizontal="right"/>
    </xf>
    <xf numFmtId="10" fontId="0" fillId="0" borderId="0" xfId="0" applyNumberFormat="1"/>
    <xf numFmtId="164" fontId="5" fillId="0" borderId="0" xfId="0" applyNumberFormat="1" applyFont="1" applyFill="1" applyBorder="1"/>
    <xf numFmtId="3" fontId="5" fillId="0" borderId="2" xfId="0" applyNumberFormat="1" applyFont="1" applyBorder="1"/>
    <xf numFmtId="3" fontId="5" fillId="0" borderId="3" xfId="0" applyNumberFormat="1" applyFont="1" applyBorder="1"/>
    <xf numFmtId="0" fontId="5" fillId="0" borderId="4" xfId="0" applyFont="1" applyBorder="1" applyAlignment="1">
      <alignment horizontal="center"/>
    </xf>
    <xf numFmtId="3" fontId="5" fillId="0" borderId="8" xfId="0" applyNumberFormat="1" applyFont="1" applyBorder="1"/>
    <xf numFmtId="3" fontId="5" fillId="0" borderId="0" xfId="0" applyNumberFormat="1" applyFont="1" applyBorder="1"/>
    <xf numFmtId="0" fontId="5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Fill="1"/>
    <xf numFmtId="0" fontId="0" fillId="0" borderId="10" xfId="0" applyBorder="1"/>
    <xf numFmtId="0" fontId="0" fillId="0" borderId="11" xfId="0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6" xfId="0" applyFont="1" applyBorder="1"/>
    <xf numFmtId="0" fontId="2" fillId="0" borderId="16" xfId="0" applyFont="1" applyBorder="1" applyAlignment="1">
      <alignment horizontal="right"/>
    </xf>
    <xf numFmtId="0" fontId="0" fillId="0" borderId="17" xfId="0" applyBorder="1"/>
    <xf numFmtId="0" fontId="0" fillId="0" borderId="18" xfId="0" applyBorder="1" applyAlignment="1">
      <alignment horizontal="center"/>
    </xf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Soja, evolución</a:t>
            </a:r>
            <a:r>
              <a:rPr lang="en-US" sz="1100" b="1" baseline="0">
                <a:solidFill>
                  <a:sysClr val="windowText" lastClr="000000"/>
                </a:solidFill>
              </a:rPr>
              <a:t> de la s</a:t>
            </a:r>
            <a:r>
              <a:rPr lang="en-US" sz="1100" b="1">
                <a:solidFill>
                  <a:sysClr val="windowText" lastClr="000000"/>
                </a:solidFill>
              </a:rPr>
              <a:t>up. Sembrada (Ha)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'Modelo  Analisis'!$R$51</c:f>
              <c:strCache>
                <c:ptCount val="1"/>
                <c:pt idx="0">
                  <c:v>Sup. Sembrada (Ha)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'Modelo  Analisis'!$Q$52:$Q$63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'Modelo  Analisis'!$R$52:$R$63</c:f>
              <c:numCache>
                <c:formatCode>#,##0</c:formatCode>
                <c:ptCount val="12"/>
                <c:pt idx="0">
                  <c:v>970350</c:v>
                </c:pt>
                <c:pt idx="1">
                  <c:v>869000</c:v>
                </c:pt>
                <c:pt idx="2">
                  <c:v>980572</c:v>
                </c:pt>
                <c:pt idx="3">
                  <c:v>871840</c:v>
                </c:pt>
                <c:pt idx="4">
                  <c:v>894290</c:v>
                </c:pt>
                <c:pt idx="5">
                  <c:v>1028772</c:v>
                </c:pt>
                <c:pt idx="6">
                  <c:v>1057280</c:v>
                </c:pt>
                <c:pt idx="7">
                  <c:v>1078150</c:v>
                </c:pt>
                <c:pt idx="8">
                  <c:v>1078120</c:v>
                </c:pt>
                <c:pt idx="9">
                  <c:v>1129500</c:v>
                </c:pt>
                <c:pt idx="10">
                  <c:v>1123180</c:v>
                </c:pt>
                <c:pt idx="11">
                  <c:v>1415045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7-4771-A2D7-9F1E832A9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548444904"/>
        <c:axId val="548444248"/>
      </c:barChart>
      <c:catAx>
        <c:axId val="5484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44248"/>
        <c:crosses val="autoZero"/>
        <c:auto val="1"/>
        <c:lblAlgn val="ctr"/>
        <c:lblOffset val="100"/>
        <c:noMultiLvlLbl val="0"/>
      </c:catAx>
      <c:valAx>
        <c:axId val="54844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44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ysClr val="windowText" lastClr="000000"/>
                </a:solidFill>
              </a:rPr>
              <a:t>Soja</a:t>
            </a:r>
            <a:r>
              <a:rPr lang="en-US" sz="1050" baseline="0">
                <a:solidFill>
                  <a:sysClr val="windowText" lastClr="000000"/>
                </a:solidFill>
              </a:rPr>
              <a:t> - Evolución de la producción y rendimientos</a:t>
            </a:r>
            <a:endParaRPr lang="en-US" sz="105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'Modelo  Analisis'!$R$66</c:f>
              <c:strCache>
                <c:ptCount val="1"/>
                <c:pt idx="0">
                  <c:v>Producción (Tn)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  Analisis'!$Q$67:$Q$78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'Modelo  Analisis'!$R$67:$R$78</c:f>
              <c:numCache>
                <c:formatCode>#,##0</c:formatCode>
                <c:ptCount val="12"/>
                <c:pt idx="0">
                  <c:v>2737945</c:v>
                </c:pt>
                <c:pt idx="1">
                  <c:v>1915310</c:v>
                </c:pt>
                <c:pt idx="2">
                  <c:v>2498134</c:v>
                </c:pt>
                <c:pt idx="3">
                  <c:v>3159862</c:v>
                </c:pt>
                <c:pt idx="4">
                  <c:v>2353796</c:v>
                </c:pt>
                <c:pt idx="5">
                  <c:v>3142543</c:v>
                </c:pt>
                <c:pt idx="6">
                  <c:v>3377967</c:v>
                </c:pt>
                <c:pt idx="7">
                  <c:v>3603230</c:v>
                </c:pt>
                <c:pt idx="8">
                  <c:v>3340985</c:v>
                </c:pt>
                <c:pt idx="9">
                  <c:v>2823432</c:v>
                </c:pt>
                <c:pt idx="10">
                  <c:v>3030971</c:v>
                </c:pt>
                <c:pt idx="11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E-46C4-9F82-9C388442B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843533264"/>
        <c:axId val="843536216"/>
      </c:barChart>
      <c:lineChart>
        <c:grouping val="standard"/>
        <c:varyColors val="0"/>
        <c:ser>
          <c:idx val="1"/>
          <c:order val="1"/>
          <c:tx>
            <c:strRef>
              <c:f>'Modelo  Analisis'!$S$66</c:f>
              <c:strCache>
                <c:ptCount val="1"/>
                <c:pt idx="0">
                  <c:v>Rendimiento (Kg/Ha)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'Modelo  Analisis'!$Q$67:$Q$78</c:f>
              <c:strCache>
                <c:ptCount val="12"/>
                <c:pt idx="0">
                  <c:v>2013/14</c:v>
                </c:pt>
                <c:pt idx="1">
                  <c:v>2014/15</c:v>
                </c:pt>
                <c:pt idx="2">
                  <c:v>2015/16</c:v>
                </c:pt>
                <c:pt idx="3">
                  <c:v>2016/17</c:v>
                </c:pt>
                <c:pt idx="4">
                  <c:v>2017/18</c:v>
                </c:pt>
                <c:pt idx="5">
                  <c:v>2018/19</c:v>
                </c:pt>
                <c:pt idx="6">
                  <c:v>2019/20</c:v>
                </c:pt>
                <c:pt idx="7">
                  <c:v>2020/21</c:v>
                </c:pt>
                <c:pt idx="8">
                  <c:v>2021/22</c:v>
                </c:pt>
                <c:pt idx="9">
                  <c:v>2022/23</c:v>
                </c:pt>
                <c:pt idx="10">
                  <c:v>2023/24</c:v>
                </c:pt>
                <c:pt idx="11">
                  <c:v>2024/25</c:v>
                </c:pt>
              </c:strCache>
            </c:strRef>
          </c:cat>
          <c:val>
            <c:numRef>
              <c:f>'Modelo  Analisis'!$S$67:$S$78</c:f>
              <c:numCache>
                <c:formatCode>#,##0</c:formatCode>
                <c:ptCount val="12"/>
                <c:pt idx="0">
                  <c:v>2822</c:v>
                </c:pt>
                <c:pt idx="1">
                  <c:v>2460</c:v>
                </c:pt>
                <c:pt idx="2">
                  <c:v>2653</c:v>
                </c:pt>
                <c:pt idx="3">
                  <c:v>3650</c:v>
                </c:pt>
                <c:pt idx="4">
                  <c:v>2653</c:v>
                </c:pt>
                <c:pt idx="5">
                  <c:v>3208</c:v>
                </c:pt>
                <c:pt idx="6">
                  <c:v>3212</c:v>
                </c:pt>
                <c:pt idx="7">
                  <c:v>3342</c:v>
                </c:pt>
                <c:pt idx="8">
                  <c:v>3099</c:v>
                </c:pt>
                <c:pt idx="9">
                  <c:v>2500</c:v>
                </c:pt>
                <c:pt idx="10">
                  <c:v>2742</c:v>
                </c:pt>
                <c:pt idx="11">
                  <c:v>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7E-46C4-9F82-9C388442B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923512"/>
        <c:axId val="1026297128"/>
      </c:lineChart>
      <c:catAx>
        <c:axId val="84353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36216"/>
        <c:crosses val="autoZero"/>
        <c:auto val="1"/>
        <c:lblAlgn val="ctr"/>
        <c:lblOffset val="100"/>
        <c:noMultiLvlLbl val="0"/>
      </c:catAx>
      <c:valAx>
        <c:axId val="84353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533264"/>
        <c:crosses val="autoZero"/>
        <c:crossBetween val="between"/>
        <c:majorUnit val="400000"/>
      </c:valAx>
      <c:valAx>
        <c:axId val="102629712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23512"/>
        <c:crosses val="max"/>
        <c:crossBetween val="between"/>
      </c:valAx>
      <c:catAx>
        <c:axId val="779923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6297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ysClr val="windowText" lastClr="000000"/>
                </a:solidFill>
              </a:rPr>
              <a:t>Evolución</a:t>
            </a:r>
            <a:r>
              <a:rPr lang="en-US" sz="1000" baseline="0">
                <a:solidFill>
                  <a:sysClr val="windowText" lastClr="000000"/>
                </a:solidFill>
              </a:rPr>
              <a:t> de la producción por cartera de cultivos de VERANO - Campañas 2014/15 a 2024/25 - En tn</a:t>
            </a:r>
            <a:endParaRPr lang="en-US" sz="10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'Modelo  Analisis'!$R$83</c:f>
              <c:strCache>
                <c:ptCount val="1"/>
                <c:pt idx="0">
                  <c:v>Algodón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Analisis'!$R$84:$R$94</c:f>
              <c:numCache>
                <c:formatCode>#,##0</c:formatCode>
                <c:ptCount val="11"/>
                <c:pt idx="0">
                  <c:v>326120</c:v>
                </c:pt>
                <c:pt idx="1">
                  <c:v>292090</c:v>
                </c:pt>
                <c:pt idx="2">
                  <c:v>330448</c:v>
                </c:pt>
                <c:pt idx="3">
                  <c:v>394649</c:v>
                </c:pt>
                <c:pt idx="4">
                  <c:v>551040</c:v>
                </c:pt>
                <c:pt idx="5">
                  <c:v>555715</c:v>
                </c:pt>
                <c:pt idx="6">
                  <c:v>500110</c:v>
                </c:pt>
                <c:pt idx="7">
                  <c:v>642082</c:v>
                </c:pt>
                <c:pt idx="8">
                  <c:v>339228</c:v>
                </c:pt>
                <c:pt idx="9">
                  <c:v>595011</c:v>
                </c:pt>
                <c:pt idx="10">
                  <c:v>440033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C-4E9F-9E3C-C1E3D6ED1268}"/>
            </c:ext>
          </c:extLst>
        </c:ser>
        <c:ser>
          <c:idx val="1"/>
          <c:order val="1"/>
          <c:tx>
            <c:strRef>
              <c:f>'Modelo  Analisis'!$S$83</c:f>
              <c:strCache>
                <c:ptCount val="1"/>
                <c:pt idx="0">
                  <c:v>Girasol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Analisis'!$S$84:$S$94</c:f>
              <c:numCache>
                <c:formatCode>#,##0</c:formatCode>
                <c:ptCount val="11"/>
                <c:pt idx="0">
                  <c:v>17610</c:v>
                </c:pt>
                <c:pt idx="1">
                  <c:v>10300</c:v>
                </c:pt>
                <c:pt idx="2">
                  <c:v>71530</c:v>
                </c:pt>
                <c:pt idx="3">
                  <c:v>47470</c:v>
                </c:pt>
                <c:pt idx="4">
                  <c:v>222218</c:v>
                </c:pt>
                <c:pt idx="5">
                  <c:v>151461</c:v>
                </c:pt>
                <c:pt idx="6">
                  <c:v>54443</c:v>
                </c:pt>
                <c:pt idx="7">
                  <c:v>45026</c:v>
                </c:pt>
                <c:pt idx="8">
                  <c:v>70695</c:v>
                </c:pt>
                <c:pt idx="9">
                  <c:v>21457</c:v>
                </c:pt>
                <c:pt idx="10">
                  <c:v>73052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C-4E9F-9E3C-C1E3D6ED1268}"/>
            </c:ext>
          </c:extLst>
        </c:ser>
        <c:ser>
          <c:idx val="2"/>
          <c:order val="2"/>
          <c:tx>
            <c:strRef>
              <c:f>'Modelo  Analisis'!$T$83</c:f>
              <c:strCache>
                <c:ptCount val="1"/>
                <c:pt idx="0">
                  <c:v>Maíz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Analisis'!$T$84:$T$94</c:f>
              <c:numCache>
                <c:formatCode>#,##0</c:formatCode>
                <c:ptCount val="11"/>
                <c:pt idx="0">
                  <c:v>2407550</c:v>
                </c:pt>
                <c:pt idx="1">
                  <c:v>4262476</c:v>
                </c:pt>
                <c:pt idx="2">
                  <c:v>4483905</c:v>
                </c:pt>
                <c:pt idx="3">
                  <c:v>3661765</c:v>
                </c:pt>
                <c:pt idx="4">
                  <c:v>4405979</c:v>
                </c:pt>
                <c:pt idx="5">
                  <c:v>5653025</c:v>
                </c:pt>
                <c:pt idx="6">
                  <c:v>5138847</c:v>
                </c:pt>
                <c:pt idx="7">
                  <c:v>5386950</c:v>
                </c:pt>
                <c:pt idx="8">
                  <c:v>4549312</c:v>
                </c:pt>
                <c:pt idx="9">
                  <c:v>1551073</c:v>
                </c:pt>
                <c:pt idx="10">
                  <c:v>1612241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C-4E9F-9E3C-C1E3D6ED1268}"/>
            </c:ext>
          </c:extLst>
        </c:ser>
        <c:ser>
          <c:idx val="3"/>
          <c:order val="3"/>
          <c:tx>
            <c:strRef>
              <c:f>'Modelo  Analisis'!$U$83</c:f>
              <c:strCache>
                <c:ptCount val="1"/>
                <c:pt idx="0">
                  <c:v>Soja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Analisis'!$U$84:$U$94</c:f>
              <c:numCache>
                <c:formatCode>#,##0</c:formatCode>
                <c:ptCount val="11"/>
                <c:pt idx="0">
                  <c:v>1915310</c:v>
                </c:pt>
                <c:pt idx="1">
                  <c:v>2498134</c:v>
                </c:pt>
                <c:pt idx="2">
                  <c:v>3159862</c:v>
                </c:pt>
                <c:pt idx="3">
                  <c:v>2353796</c:v>
                </c:pt>
                <c:pt idx="4">
                  <c:v>3142543</c:v>
                </c:pt>
                <c:pt idx="5">
                  <c:v>3377967</c:v>
                </c:pt>
                <c:pt idx="6">
                  <c:v>3603230</c:v>
                </c:pt>
                <c:pt idx="7">
                  <c:v>3340985</c:v>
                </c:pt>
                <c:pt idx="8">
                  <c:v>2823432</c:v>
                </c:pt>
                <c:pt idx="9">
                  <c:v>3030971</c:v>
                </c:pt>
                <c:pt idx="10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8C-4E9F-9E3C-C1E3D6ED1268}"/>
            </c:ext>
          </c:extLst>
        </c:ser>
        <c:ser>
          <c:idx val="4"/>
          <c:order val="4"/>
          <c:tx>
            <c:strRef>
              <c:f>'Modelo  Analisis'!$V$83</c:f>
              <c:strCache>
                <c:ptCount val="1"/>
                <c:pt idx="0">
                  <c:v>Sorgo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Analisis'!$V$84:$V$94</c:f>
              <c:numCache>
                <c:formatCode>#,##0</c:formatCode>
                <c:ptCount val="11"/>
                <c:pt idx="0">
                  <c:v>308840</c:v>
                </c:pt>
                <c:pt idx="1">
                  <c:v>484050</c:v>
                </c:pt>
                <c:pt idx="2">
                  <c:v>304490</c:v>
                </c:pt>
                <c:pt idx="3">
                  <c:v>151185</c:v>
                </c:pt>
                <c:pt idx="4">
                  <c:v>218056</c:v>
                </c:pt>
                <c:pt idx="5">
                  <c:v>240331</c:v>
                </c:pt>
                <c:pt idx="6">
                  <c:v>402233</c:v>
                </c:pt>
                <c:pt idx="7">
                  <c:v>375926</c:v>
                </c:pt>
                <c:pt idx="8">
                  <c:v>352529</c:v>
                </c:pt>
                <c:pt idx="9">
                  <c:v>314300</c:v>
                </c:pt>
                <c:pt idx="10">
                  <c:v>325826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8C-4E9F-9E3C-C1E3D6ED1268}"/>
            </c:ext>
          </c:extLst>
        </c:ser>
        <c:ser>
          <c:idx val="5"/>
          <c:order val="5"/>
          <c:tx>
            <c:strRef>
              <c:f>'Modelo  Analisis'!$W$83</c:f>
              <c:strCache>
                <c:ptCount val="1"/>
                <c:pt idx="0">
                  <c:v>Poroto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Analisis'!$W$84:$W$94</c:f>
              <c:numCache>
                <c:formatCode>#,##0</c:formatCode>
                <c:ptCount val="11"/>
                <c:pt idx="0">
                  <c:v>83400</c:v>
                </c:pt>
                <c:pt idx="1">
                  <c:v>96700</c:v>
                </c:pt>
                <c:pt idx="2">
                  <c:v>93600</c:v>
                </c:pt>
                <c:pt idx="3">
                  <c:v>105700</c:v>
                </c:pt>
                <c:pt idx="4">
                  <c:v>117600</c:v>
                </c:pt>
                <c:pt idx="5">
                  <c:v>112399</c:v>
                </c:pt>
                <c:pt idx="6">
                  <c:v>126768</c:v>
                </c:pt>
                <c:pt idx="7">
                  <c:v>96325</c:v>
                </c:pt>
                <c:pt idx="8">
                  <c:v>200120</c:v>
                </c:pt>
                <c:pt idx="9">
                  <c:v>97686</c:v>
                </c:pt>
                <c:pt idx="10">
                  <c:v>193944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8C-4E9F-9E3C-C1E3D6ED1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49039056"/>
        <c:axId val="1349039384"/>
      </c:barChart>
      <c:catAx>
        <c:axId val="134903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384"/>
        <c:crosses val="autoZero"/>
        <c:auto val="1"/>
        <c:lblAlgn val="ctr"/>
        <c:lblOffset val="100"/>
        <c:noMultiLvlLbl val="0"/>
      </c:catAx>
      <c:valAx>
        <c:axId val="13490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baseline="0">
                <a:solidFill>
                  <a:sysClr val="windowText" lastClr="000000"/>
                </a:solidFill>
                <a:effectLst/>
              </a:rPr>
              <a:t>Evolución de la producción por cartera de cultivos de VERANO - Campañas 2014/15 a 2024/25 - En %</a:t>
            </a:r>
            <a:endParaRPr lang="en-US" sz="1000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'Modelo  Analisis'!$R$83</c:f>
              <c:strCache>
                <c:ptCount val="1"/>
                <c:pt idx="0">
                  <c:v>Algodón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Analisis'!$R$84:$R$94</c:f>
              <c:numCache>
                <c:formatCode>#,##0</c:formatCode>
                <c:ptCount val="11"/>
                <c:pt idx="0">
                  <c:v>326120</c:v>
                </c:pt>
                <c:pt idx="1">
                  <c:v>292090</c:v>
                </c:pt>
                <c:pt idx="2">
                  <c:v>330448</c:v>
                </c:pt>
                <c:pt idx="3">
                  <c:v>394649</c:v>
                </c:pt>
                <c:pt idx="4">
                  <c:v>551040</c:v>
                </c:pt>
                <c:pt idx="5">
                  <c:v>555715</c:v>
                </c:pt>
                <c:pt idx="6">
                  <c:v>500110</c:v>
                </c:pt>
                <c:pt idx="7">
                  <c:v>642082</c:v>
                </c:pt>
                <c:pt idx="8">
                  <c:v>339228</c:v>
                </c:pt>
                <c:pt idx="9">
                  <c:v>595011</c:v>
                </c:pt>
                <c:pt idx="10">
                  <c:v>440033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2-4312-988D-5B405375FC91}"/>
            </c:ext>
          </c:extLst>
        </c:ser>
        <c:ser>
          <c:idx val="1"/>
          <c:order val="1"/>
          <c:tx>
            <c:strRef>
              <c:f>'Modelo  Analisis'!$S$83</c:f>
              <c:strCache>
                <c:ptCount val="1"/>
                <c:pt idx="0">
                  <c:v>Girasol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Analisis'!$S$84:$S$94</c:f>
              <c:numCache>
                <c:formatCode>#,##0</c:formatCode>
                <c:ptCount val="11"/>
                <c:pt idx="0">
                  <c:v>17610</c:v>
                </c:pt>
                <c:pt idx="1">
                  <c:v>10300</c:v>
                </c:pt>
                <c:pt idx="2">
                  <c:v>71530</c:v>
                </c:pt>
                <c:pt idx="3">
                  <c:v>47470</c:v>
                </c:pt>
                <c:pt idx="4">
                  <c:v>222218</c:v>
                </c:pt>
                <c:pt idx="5">
                  <c:v>151461</c:v>
                </c:pt>
                <c:pt idx="6">
                  <c:v>54443</c:v>
                </c:pt>
                <c:pt idx="7">
                  <c:v>45026</c:v>
                </c:pt>
                <c:pt idx="8">
                  <c:v>70695</c:v>
                </c:pt>
                <c:pt idx="9">
                  <c:v>21457</c:v>
                </c:pt>
                <c:pt idx="10">
                  <c:v>73052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72-4312-988D-5B405375FC91}"/>
            </c:ext>
          </c:extLst>
        </c:ser>
        <c:ser>
          <c:idx val="2"/>
          <c:order val="2"/>
          <c:tx>
            <c:strRef>
              <c:f>'Modelo  Analisis'!$T$83</c:f>
              <c:strCache>
                <c:ptCount val="1"/>
                <c:pt idx="0">
                  <c:v>Maíz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Analisis'!$T$84:$T$94</c:f>
              <c:numCache>
                <c:formatCode>#,##0</c:formatCode>
                <c:ptCount val="11"/>
                <c:pt idx="0">
                  <c:v>2407550</c:v>
                </c:pt>
                <c:pt idx="1">
                  <c:v>4262476</c:v>
                </c:pt>
                <c:pt idx="2">
                  <c:v>4483905</c:v>
                </c:pt>
                <c:pt idx="3">
                  <c:v>3661765</c:v>
                </c:pt>
                <c:pt idx="4">
                  <c:v>4405979</c:v>
                </c:pt>
                <c:pt idx="5">
                  <c:v>5653025</c:v>
                </c:pt>
                <c:pt idx="6">
                  <c:v>5138847</c:v>
                </c:pt>
                <c:pt idx="7">
                  <c:v>5386950</c:v>
                </c:pt>
                <c:pt idx="8">
                  <c:v>4549312</c:v>
                </c:pt>
                <c:pt idx="9">
                  <c:v>1551073</c:v>
                </c:pt>
                <c:pt idx="10">
                  <c:v>1612241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2-4312-988D-5B405375FC91}"/>
            </c:ext>
          </c:extLst>
        </c:ser>
        <c:ser>
          <c:idx val="3"/>
          <c:order val="3"/>
          <c:tx>
            <c:strRef>
              <c:f>'Modelo  Analisis'!$U$83</c:f>
              <c:strCache>
                <c:ptCount val="1"/>
                <c:pt idx="0">
                  <c:v>Soja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Analisis'!$U$84:$U$94</c:f>
              <c:numCache>
                <c:formatCode>#,##0</c:formatCode>
                <c:ptCount val="11"/>
                <c:pt idx="0">
                  <c:v>1915310</c:v>
                </c:pt>
                <c:pt idx="1">
                  <c:v>2498134</c:v>
                </c:pt>
                <c:pt idx="2">
                  <c:v>3159862</c:v>
                </c:pt>
                <c:pt idx="3">
                  <c:v>2353796</c:v>
                </c:pt>
                <c:pt idx="4">
                  <c:v>3142543</c:v>
                </c:pt>
                <c:pt idx="5">
                  <c:v>3377967</c:v>
                </c:pt>
                <c:pt idx="6">
                  <c:v>3603230</c:v>
                </c:pt>
                <c:pt idx="7">
                  <c:v>3340985</c:v>
                </c:pt>
                <c:pt idx="8">
                  <c:v>2823432</c:v>
                </c:pt>
                <c:pt idx="9">
                  <c:v>3030971</c:v>
                </c:pt>
                <c:pt idx="10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72-4312-988D-5B405375FC91}"/>
            </c:ext>
          </c:extLst>
        </c:ser>
        <c:ser>
          <c:idx val="4"/>
          <c:order val="4"/>
          <c:tx>
            <c:strRef>
              <c:f>'Modelo  Analisis'!$V$83</c:f>
              <c:strCache>
                <c:ptCount val="1"/>
                <c:pt idx="0">
                  <c:v>Sorgo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Analisis'!$V$84:$V$94</c:f>
              <c:numCache>
                <c:formatCode>#,##0</c:formatCode>
                <c:ptCount val="11"/>
                <c:pt idx="0">
                  <c:v>308840</c:v>
                </c:pt>
                <c:pt idx="1">
                  <c:v>484050</c:v>
                </c:pt>
                <c:pt idx="2">
                  <c:v>304490</c:v>
                </c:pt>
                <c:pt idx="3">
                  <c:v>151185</c:v>
                </c:pt>
                <c:pt idx="4">
                  <c:v>218056</c:v>
                </c:pt>
                <c:pt idx="5">
                  <c:v>240331</c:v>
                </c:pt>
                <c:pt idx="6">
                  <c:v>402233</c:v>
                </c:pt>
                <c:pt idx="7">
                  <c:v>375926</c:v>
                </c:pt>
                <c:pt idx="8">
                  <c:v>352529</c:v>
                </c:pt>
                <c:pt idx="9">
                  <c:v>314300</c:v>
                </c:pt>
                <c:pt idx="10">
                  <c:v>325826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72-4312-988D-5B405375FC91}"/>
            </c:ext>
          </c:extLst>
        </c:ser>
        <c:ser>
          <c:idx val="5"/>
          <c:order val="5"/>
          <c:tx>
            <c:strRef>
              <c:f>'Modelo  Analisis'!$W$83</c:f>
              <c:strCache>
                <c:ptCount val="1"/>
                <c:pt idx="0">
                  <c:v>Poroto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'Modelo  Analisis'!$Q$84:$Q$94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'Modelo  Analisis'!$W$84:$W$94</c:f>
              <c:numCache>
                <c:formatCode>#,##0</c:formatCode>
                <c:ptCount val="11"/>
                <c:pt idx="0">
                  <c:v>83400</c:v>
                </c:pt>
                <c:pt idx="1">
                  <c:v>96700</c:v>
                </c:pt>
                <c:pt idx="2">
                  <c:v>93600</c:v>
                </c:pt>
                <c:pt idx="3">
                  <c:v>105700</c:v>
                </c:pt>
                <c:pt idx="4">
                  <c:v>117600</c:v>
                </c:pt>
                <c:pt idx="5">
                  <c:v>112399</c:v>
                </c:pt>
                <c:pt idx="6">
                  <c:v>126768</c:v>
                </c:pt>
                <c:pt idx="7">
                  <c:v>96325</c:v>
                </c:pt>
                <c:pt idx="8">
                  <c:v>200120</c:v>
                </c:pt>
                <c:pt idx="9">
                  <c:v>97686</c:v>
                </c:pt>
                <c:pt idx="10">
                  <c:v>193944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72-4312-988D-5B405375F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349039056"/>
        <c:axId val="1349039384"/>
      </c:barChart>
      <c:catAx>
        <c:axId val="134903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384"/>
        <c:crosses val="autoZero"/>
        <c:auto val="1"/>
        <c:lblAlgn val="ctr"/>
        <c:lblOffset val="100"/>
        <c:noMultiLvlLbl val="0"/>
      </c:catAx>
      <c:valAx>
        <c:axId val="13490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0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13945944424507"/>
          <c:y val="0.10474901574803151"/>
          <c:w val="0.44112878993574078"/>
          <c:h val="0.76879416515243282"/>
        </c:manualLayout>
      </c:layout>
      <c:pieChart>
        <c:varyColors val="1"/>
        <c:ser>
          <c:idx val="0"/>
          <c:order val="0"/>
          <c:tx>
            <c:strRef>
              <c:f>'Modelo  Analisis'!$K$129</c:f>
              <c:strCache>
                <c:ptCount val="1"/>
                <c:pt idx="0">
                  <c:v>Producción soja (tn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C7-4454-8598-7881B694B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C7-4454-8598-7881B694B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C7-4454-8598-7881B694B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C7-4454-8598-7881B694B5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C7-4454-8598-7881B694B57F}"/>
              </c:ext>
            </c:extLst>
          </c:dPt>
          <c:dLbls>
            <c:dLbl>
              <c:idx val="0"/>
              <c:layout>
                <c:manualLayout>
                  <c:x val="-0.23717607174103242"/>
                  <c:y val="5.65718868474773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04ADFE-7951-4FCE-9528-16F85BCAB2F5}" type="CATEGORYNAME">
                      <a:rPr lang="en-US" sz="1000" b="1"/>
                      <a:pPr algn="ctr"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/>
                      <a:t>
</a:t>
                    </a:r>
                    <a:fld id="{AA531D38-68F2-4E77-A207-681CD8FCC6EB}" type="PERCENTAGE">
                      <a:rPr lang="en-US" sz="1000" baseline="0"/>
                      <a:pPr algn="ctr"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n-US" sz="1000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EC7-4454-8598-7881B694B57F}"/>
                </c:ext>
              </c:extLst>
            </c:dLbl>
            <c:dLbl>
              <c:idx val="1"/>
              <c:layout>
                <c:manualLayout>
                  <c:x val="0.12632808398950121"/>
                  <c:y val="3.56576261300670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F77D26C-AFA2-4B1C-85CE-F1522C5349FC}" type="CATEGORYNAME">
                      <a:rPr lang="en-US" sz="1000" b="1">
                        <a:solidFill>
                          <a:sysClr val="windowText" lastClr="000000"/>
                        </a:solidFill>
                      </a:rPr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
</a:t>
                    </a:r>
                    <a:fld id="{19A35B8C-867B-43B1-9B05-7EF7DE6769E8}" type="PERCENTAG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EC7-4454-8598-7881B694B57F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FE5D63C-0010-4C8C-A390-3C1CBFE93C10}" type="CATEGORYNAME">
                      <a:rPr lang="en-US" b="1"/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baseline="0"/>
                      <a:t>
</a:t>
                    </a:r>
                    <a:fld id="{8ED1BFEA-FE2C-4EBE-8039-18E91FFDDBF0}" type="PERCENTAGE">
                      <a:rPr lang="en-US" baseline="0"/>
                      <a:pPr>
                        <a:defRPr sz="1000"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EC7-4454-8598-7881B694B57F}"/>
                </c:ext>
              </c:extLst>
            </c:dLbl>
            <c:dLbl>
              <c:idx val="3"/>
              <c:layout>
                <c:manualLayout>
                  <c:x val="-0.1211994750656168"/>
                  <c:y val="-1.8301618547681541E-2"/>
                </c:manualLayout>
              </c:layout>
              <c:tx>
                <c:rich>
                  <a:bodyPr/>
                  <a:lstStyle/>
                  <a:p>
                    <a:fld id="{11EF7268-F667-4430-9FD9-4CB3506E9620}" type="CATEGORYNAME">
                      <a:rPr lang="en-US" b="1">
                        <a:solidFill>
                          <a:sysClr val="windowText" lastClr="000000"/>
                        </a:solidFill>
                      </a:rPr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6AB93B94-05B9-47D7-8230-91D90A7FD350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EC7-4454-8598-7881B694B57F}"/>
                </c:ext>
              </c:extLst>
            </c:dLbl>
            <c:dLbl>
              <c:idx val="4"/>
              <c:layout>
                <c:manualLayout>
                  <c:x val="0.17158702144990498"/>
                  <c:y val="-0.1672382899252978"/>
                </c:manualLayout>
              </c:layout>
              <c:tx>
                <c:rich>
                  <a:bodyPr/>
                  <a:lstStyle/>
                  <a:p>
                    <a:fld id="{7A488A05-A160-4C89-BFA2-653D0F94CD7E}" type="CATEGORYNAME">
                      <a:rPr lang="en-US" b="1"/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408E165C-0EFE-4C49-B2CC-28319317D058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6EC7-4454-8598-7881B694B57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noFill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'Modelo  Analisis'!$J$130:$J$134</c:f>
              <c:strCache>
                <c:ptCount val="5"/>
                <c:pt idx="0">
                  <c:v>Catamarca</c:v>
                </c:pt>
                <c:pt idx="1">
                  <c:v>Jujuy</c:v>
                </c:pt>
                <c:pt idx="2">
                  <c:v>Salta</c:v>
                </c:pt>
                <c:pt idx="3">
                  <c:v>Tucumán</c:v>
                </c:pt>
                <c:pt idx="4">
                  <c:v>Sgo. del Estero</c:v>
                </c:pt>
              </c:strCache>
            </c:strRef>
          </c:cat>
          <c:val>
            <c:numRef>
              <c:f>'Modelo  Analisis'!$K$130:$K$134</c:f>
              <c:numCache>
                <c:formatCode>#,##0</c:formatCode>
                <c:ptCount val="5"/>
                <c:pt idx="0">
                  <c:v>101766</c:v>
                </c:pt>
                <c:pt idx="1">
                  <c:v>14396</c:v>
                </c:pt>
                <c:pt idx="2">
                  <c:v>740812</c:v>
                </c:pt>
                <c:pt idx="3">
                  <c:v>473056</c:v>
                </c:pt>
                <c:pt idx="4">
                  <c:v>2895233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C7-4454-8598-7881B694B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45</xdr:row>
      <xdr:rowOff>114300</xdr:rowOff>
    </xdr:from>
    <xdr:to>
      <xdr:col>6</xdr:col>
      <xdr:colOff>723900</xdr:colOff>
      <xdr:row>61</xdr:row>
      <xdr:rowOff>175260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1478280</xdr:colOff>
      <xdr:row>66</xdr:row>
      <xdr:rowOff>99060</xdr:rowOff>
    </xdr:from>
    <xdr:to>
      <xdr:col>6</xdr:col>
      <xdr:colOff>762000</xdr:colOff>
      <xdr:row>82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1531620</xdr:colOff>
      <xdr:row>84</xdr:row>
      <xdr:rowOff>45720</xdr:rowOff>
    </xdr:from>
    <xdr:to>
      <xdr:col>9</xdr:col>
      <xdr:colOff>320040</xdr:colOff>
      <xdr:row>100</xdr:row>
      <xdr:rowOff>114300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1562100</xdr:colOff>
      <xdr:row>103</xdr:row>
      <xdr:rowOff>91440</xdr:rowOff>
    </xdr:from>
    <xdr:to>
      <xdr:col>9</xdr:col>
      <xdr:colOff>381000</xdr:colOff>
      <xdr:row>120</xdr:row>
      <xdr:rowOff>83820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533400</xdr:colOff>
      <xdr:row>125</xdr:row>
      <xdr:rowOff>76200</xdr:rowOff>
    </xdr:from>
    <xdr:to>
      <xdr:col>8</xdr:col>
      <xdr:colOff>220980</xdr:colOff>
      <xdr:row>142</xdr:row>
      <xdr:rowOff>137160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300"/>
  <sheetViews>
    <sheetView tabSelected="1" workbookViewId="0">
      <selection activeCell="I18" sqref="I18"/>
    </sheetView>
  </sheetViews>
  <sheetFormatPr baseColWidth="10" defaultRowHeight="14.4" x14ac:dyDescent="0.3"/>
  <cols>
    <col min="1" max="1" width="7.44140625" customWidth="1"/>
    <col min="2" max="2" width="22.88671875" customWidth="1"/>
    <col min="3" max="3" width="15.21875" customWidth="1"/>
    <col min="4" max="4" width="16.109375" customWidth="1"/>
    <col min="5" max="5" width="16.21875" customWidth="1"/>
    <col min="6" max="6" width="14.44140625" customWidth="1"/>
    <col min="12" max="12" width="13.88671875" bestFit="1" customWidth="1"/>
  </cols>
  <sheetData>
    <row r="2" spans="2:6" x14ac:dyDescent="0.3">
      <c r="C2" s="4" t="s">
        <v>191</v>
      </c>
    </row>
    <row r="4" spans="2:6" x14ac:dyDescent="0.3">
      <c r="B4" s="11" t="s">
        <v>190</v>
      </c>
      <c r="C4" s="52" t="s">
        <v>189</v>
      </c>
      <c r="D4" s="52" t="s">
        <v>188</v>
      </c>
      <c r="E4" s="52" t="s">
        <v>187</v>
      </c>
      <c r="F4" s="52" t="s">
        <v>186</v>
      </c>
    </row>
    <row r="5" spans="2:6" x14ac:dyDescent="0.3">
      <c r="B5" s="11" t="s">
        <v>185</v>
      </c>
      <c r="C5" s="5" t="s">
        <v>136</v>
      </c>
      <c r="D5" s="5" t="s">
        <v>136</v>
      </c>
      <c r="E5" s="5" t="s">
        <v>184</v>
      </c>
      <c r="F5" s="5" t="s">
        <v>183</v>
      </c>
    </row>
    <row r="6" spans="2:6" x14ac:dyDescent="0.3">
      <c r="B6" s="11" t="s">
        <v>182</v>
      </c>
      <c r="C6" t="s">
        <v>181</v>
      </c>
    </row>
    <row r="7" spans="2:6" x14ac:dyDescent="0.3">
      <c r="B7" s="11" t="s">
        <v>180</v>
      </c>
      <c r="C7" t="s">
        <v>179</v>
      </c>
    </row>
    <row r="8" spans="2:6" x14ac:dyDescent="0.3">
      <c r="B8" s="11" t="s">
        <v>178</v>
      </c>
      <c r="C8" t="s">
        <v>177</v>
      </c>
    </row>
    <row r="10" spans="2:6" x14ac:dyDescent="0.3">
      <c r="B10" s="11" t="s">
        <v>176</v>
      </c>
      <c r="C10" t="s">
        <v>175</v>
      </c>
      <c r="D10" t="s">
        <v>174</v>
      </c>
    </row>
    <row r="11" spans="2:6" x14ac:dyDescent="0.3">
      <c r="B11" s="11" t="s">
        <v>173</v>
      </c>
      <c r="C11" s="11" t="s">
        <v>172</v>
      </c>
      <c r="D11" t="s">
        <v>171</v>
      </c>
    </row>
    <row r="12" spans="2:6" x14ac:dyDescent="0.3">
      <c r="D12" t="s">
        <v>170</v>
      </c>
    </row>
    <row r="13" spans="2:6" x14ac:dyDescent="0.3">
      <c r="D13" t="s">
        <v>169</v>
      </c>
    </row>
    <row r="14" spans="2:6" x14ac:dyDescent="0.3">
      <c r="D14" t="s">
        <v>168</v>
      </c>
    </row>
    <row r="16" spans="2:6" x14ac:dyDescent="0.3">
      <c r="C16" s="11" t="s">
        <v>167</v>
      </c>
      <c r="D16" t="s">
        <v>166</v>
      </c>
    </row>
    <row r="17" spans="2:15" x14ac:dyDescent="0.3">
      <c r="D17" t="s">
        <v>165</v>
      </c>
    </row>
    <row r="18" spans="2:15" x14ac:dyDescent="0.3">
      <c r="D18" t="s">
        <v>164</v>
      </c>
    </row>
    <row r="19" spans="2:15" x14ac:dyDescent="0.3">
      <c r="D19" t="s">
        <v>163</v>
      </c>
    </row>
    <row r="21" spans="2:15" ht="15" thickBot="1" x14ac:dyDescent="0.35">
      <c r="C21" s="11" t="s">
        <v>162</v>
      </c>
      <c r="D21" t="s">
        <v>161</v>
      </c>
    </row>
    <row r="22" spans="2:15" x14ac:dyDescent="0.3">
      <c r="B22" s="51"/>
      <c r="C22" s="50" t="s">
        <v>160</v>
      </c>
      <c r="D22" s="49" t="s">
        <v>159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7"/>
    </row>
    <row r="23" spans="2:15" x14ac:dyDescent="0.3">
      <c r="B23" s="46"/>
      <c r="C23" s="45"/>
      <c r="D23" s="44" t="s">
        <v>158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2"/>
    </row>
    <row r="24" spans="2:15" ht="15" thickBot="1" x14ac:dyDescent="0.35">
      <c r="B24" s="41"/>
      <c r="C24" s="39"/>
      <c r="D24" s="40" t="s">
        <v>157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8"/>
    </row>
    <row r="26" spans="2:15" x14ac:dyDescent="0.3">
      <c r="C26" s="13" t="s">
        <v>156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2:15" x14ac:dyDescent="0.3">
      <c r="C27" s="15" t="s">
        <v>155</v>
      </c>
      <c r="D27" t="s">
        <v>154</v>
      </c>
    </row>
    <row r="28" spans="2:15" x14ac:dyDescent="0.3">
      <c r="C28" s="15" t="s">
        <v>153</v>
      </c>
      <c r="D28" t="s">
        <v>152</v>
      </c>
    </row>
    <row r="29" spans="2:15" x14ac:dyDescent="0.3">
      <c r="C29" s="15" t="s">
        <v>151</v>
      </c>
      <c r="D29" t="s">
        <v>150</v>
      </c>
    </row>
    <row r="30" spans="2:15" x14ac:dyDescent="0.3">
      <c r="C30" s="15" t="s">
        <v>149</v>
      </c>
      <c r="D30" t="s">
        <v>148</v>
      </c>
    </row>
    <row r="31" spans="2:15" x14ac:dyDescent="0.3">
      <c r="C31" s="15" t="s">
        <v>147</v>
      </c>
      <c r="D31" t="s">
        <v>146</v>
      </c>
    </row>
    <row r="32" spans="2:15" x14ac:dyDescent="0.3">
      <c r="C32" s="15" t="s">
        <v>145</v>
      </c>
      <c r="D32" t="s">
        <v>144</v>
      </c>
    </row>
    <row r="33" spans="3:15" x14ac:dyDescent="0.3">
      <c r="C33" s="15"/>
    </row>
    <row r="37" spans="3:15" x14ac:dyDescent="0.3">
      <c r="C37" s="13" t="s">
        <v>143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3:15" s="2" customFormat="1" x14ac:dyDescent="0.3">
      <c r="C38" s="37" t="s">
        <v>142</v>
      </c>
    </row>
    <row r="39" spans="3:15" s="2" customFormat="1" x14ac:dyDescent="0.3">
      <c r="C39" s="37">
        <v>1</v>
      </c>
      <c r="D39" s="2" t="s">
        <v>141</v>
      </c>
    </row>
    <row r="40" spans="3:15" s="2" customFormat="1" x14ac:dyDescent="0.3">
      <c r="C40" s="37">
        <v>2</v>
      </c>
      <c r="D40" s="2" t="s">
        <v>140</v>
      </c>
    </row>
    <row r="41" spans="3:15" s="2" customFormat="1" x14ac:dyDescent="0.3">
      <c r="C41" s="37">
        <v>3</v>
      </c>
      <c r="D41" s="2" t="s">
        <v>139</v>
      </c>
    </row>
    <row r="42" spans="3:15" s="2" customFormat="1" ht="15" thickBot="1" x14ac:dyDescent="0.35">
      <c r="C42" s="37"/>
    </row>
    <row r="43" spans="3:15" s="2" customFormat="1" ht="15" thickBot="1" x14ac:dyDescent="0.35">
      <c r="C43" s="37"/>
      <c r="E43" s="16" t="s">
        <v>138</v>
      </c>
    </row>
    <row r="45" spans="3:15" x14ac:dyDescent="0.3">
      <c r="E45" s="35" t="s">
        <v>137</v>
      </c>
    </row>
    <row r="47" spans="3:15" x14ac:dyDescent="0.3">
      <c r="H47" s="34" t="s">
        <v>128</v>
      </c>
      <c r="I47" s="36" t="s">
        <v>136</v>
      </c>
    </row>
    <row r="48" spans="3:15" x14ac:dyDescent="0.3">
      <c r="H48" s="31" t="str">
        <f>Q52</f>
        <v>2013/14</v>
      </c>
      <c r="I48" s="29">
        <f>R52</f>
        <v>970350</v>
      </c>
    </row>
    <row r="49" spans="3:35" x14ac:dyDescent="0.3">
      <c r="H49" s="31" t="str">
        <f>Q53</f>
        <v>2014/15</v>
      </c>
      <c r="I49" s="29">
        <f>R53</f>
        <v>869000</v>
      </c>
      <c r="K49" s="25"/>
    </row>
    <row r="50" spans="3:35" x14ac:dyDescent="0.3">
      <c r="H50" s="31" t="str">
        <f>Q54</f>
        <v>2015/16</v>
      </c>
      <c r="I50" s="29">
        <f>R54</f>
        <v>980572</v>
      </c>
      <c r="K50" s="25"/>
    </row>
    <row r="51" spans="3:35" x14ac:dyDescent="0.3">
      <c r="H51" s="31" t="str">
        <f>Q55</f>
        <v>2016/17</v>
      </c>
      <c r="I51" s="29">
        <f>R55</f>
        <v>871840</v>
      </c>
      <c r="K51" s="25"/>
      <c r="Q51" s="11" t="s">
        <v>128</v>
      </c>
      <c r="R51" s="9" t="s">
        <v>135</v>
      </c>
      <c r="S51" s="9" t="s">
        <v>134</v>
      </c>
      <c r="T51" s="9" t="s">
        <v>130</v>
      </c>
    </row>
    <row r="52" spans="3:35" x14ac:dyDescent="0.3">
      <c r="H52" s="31" t="str">
        <f>Q56</f>
        <v>2017/18</v>
      </c>
      <c r="I52" s="29">
        <f>R56</f>
        <v>894290</v>
      </c>
      <c r="K52" s="17" t="s">
        <v>113</v>
      </c>
      <c r="Q52" t="s">
        <v>20</v>
      </c>
      <c r="R52" s="1">
        <v>970350</v>
      </c>
      <c r="S52" s="1">
        <v>970350</v>
      </c>
      <c r="T52" s="1">
        <v>2737945</v>
      </c>
    </row>
    <row r="53" spans="3:35" x14ac:dyDescent="0.3">
      <c r="H53" s="31" t="str">
        <f>Q57</f>
        <v>2018/19</v>
      </c>
      <c r="I53" s="29">
        <f>R57</f>
        <v>1028772</v>
      </c>
      <c r="K53" s="25"/>
      <c r="Q53" t="s">
        <v>18</v>
      </c>
      <c r="R53" s="1">
        <v>869000</v>
      </c>
      <c r="S53" s="1">
        <v>778500</v>
      </c>
      <c r="T53" s="1">
        <v>1915310</v>
      </c>
    </row>
    <row r="54" spans="3:35" x14ac:dyDescent="0.3">
      <c r="H54" s="31" t="str">
        <f>Q58</f>
        <v>2019/20</v>
      </c>
      <c r="I54" s="29">
        <f>R58</f>
        <v>1057280</v>
      </c>
      <c r="K54" s="17" t="s">
        <v>133</v>
      </c>
      <c r="Q54" t="s">
        <v>17</v>
      </c>
      <c r="R54" s="1">
        <v>980572</v>
      </c>
      <c r="S54" s="1">
        <v>941572</v>
      </c>
      <c r="T54" s="1">
        <v>2498134</v>
      </c>
    </row>
    <row r="55" spans="3:35" x14ac:dyDescent="0.3">
      <c r="H55" s="31" t="str">
        <f>Q59</f>
        <v>2020/21</v>
      </c>
      <c r="I55" s="29">
        <f>R59</f>
        <v>1078150</v>
      </c>
      <c r="K55" s="25"/>
      <c r="Q55" t="s">
        <v>14</v>
      </c>
      <c r="R55" s="1">
        <v>871840</v>
      </c>
      <c r="S55" s="1">
        <v>865690</v>
      </c>
      <c r="T55" s="1">
        <v>3159862</v>
      </c>
    </row>
    <row r="56" spans="3:35" x14ac:dyDescent="0.3">
      <c r="H56" s="31" t="str">
        <f>Q60</f>
        <v>2021/22</v>
      </c>
      <c r="I56" s="29">
        <f>R60</f>
        <v>1078120</v>
      </c>
      <c r="K56" s="25"/>
      <c r="Q56" t="s">
        <v>12</v>
      </c>
      <c r="R56" s="1">
        <v>894290</v>
      </c>
      <c r="S56" s="1">
        <v>887240</v>
      </c>
      <c r="T56" s="1">
        <v>2353796</v>
      </c>
    </row>
    <row r="57" spans="3:35" x14ac:dyDescent="0.3">
      <c r="H57" s="31" t="str">
        <f>Q61</f>
        <v>2022/23</v>
      </c>
      <c r="I57" s="29">
        <f>R61</f>
        <v>1129500</v>
      </c>
      <c r="K57" s="25"/>
      <c r="Q57" t="s">
        <v>9</v>
      </c>
      <c r="R57" s="1">
        <v>1028772</v>
      </c>
      <c r="S57" s="1">
        <v>979492</v>
      </c>
      <c r="T57" s="1">
        <v>3142543</v>
      </c>
    </row>
    <row r="58" spans="3:35" x14ac:dyDescent="0.3">
      <c r="H58" s="31" t="str">
        <f>Q62</f>
        <v>2023/24</v>
      </c>
      <c r="I58" s="29">
        <f>R62</f>
        <v>1123180</v>
      </c>
      <c r="K58" s="25"/>
      <c r="Q58" t="s">
        <v>8</v>
      </c>
      <c r="R58" s="1">
        <v>1057280</v>
      </c>
      <c r="S58" s="1">
        <v>1051780</v>
      </c>
      <c r="T58" s="1">
        <v>3377967</v>
      </c>
    </row>
    <row r="59" spans="3:35" x14ac:dyDescent="0.3">
      <c r="H59" s="28" t="str">
        <f>Q63</f>
        <v>2024/25</v>
      </c>
      <c r="I59" s="26">
        <f>R63</f>
        <v>1415045</v>
      </c>
      <c r="K59" s="25"/>
      <c r="Q59" t="s">
        <v>7</v>
      </c>
      <c r="R59" s="1">
        <v>1078150</v>
      </c>
      <c r="S59" s="1">
        <v>1078150</v>
      </c>
      <c r="T59" s="1">
        <v>3603230</v>
      </c>
    </row>
    <row r="60" spans="3:35" x14ac:dyDescent="0.3">
      <c r="K60" s="24"/>
      <c r="Q60" t="s">
        <v>6</v>
      </c>
      <c r="R60" s="1">
        <v>1078120</v>
      </c>
      <c r="S60" s="1">
        <v>1078120</v>
      </c>
      <c r="T60" s="1">
        <v>3340985</v>
      </c>
    </row>
    <row r="61" spans="3:35" x14ac:dyDescent="0.3">
      <c r="H61" s="23" t="s">
        <v>125</v>
      </c>
      <c r="I61" s="21">
        <f>(I59-I48)/I48</f>
        <v>0.45828309372906684</v>
      </c>
      <c r="Q61" t="s">
        <v>5</v>
      </c>
      <c r="R61" s="1">
        <v>1129500</v>
      </c>
      <c r="S61" s="1">
        <v>1129500</v>
      </c>
      <c r="T61" s="1">
        <v>2823432</v>
      </c>
    </row>
    <row r="62" spans="3:35" x14ac:dyDescent="0.3">
      <c r="H62" s="20" t="s">
        <v>123</v>
      </c>
      <c r="I62" s="18">
        <f>(I59/I48)^(1/11)-1</f>
        <v>3.4891244775677954E-2</v>
      </c>
      <c r="Q62" t="s">
        <v>4</v>
      </c>
      <c r="R62" s="1">
        <v>1123180</v>
      </c>
      <c r="S62" s="1">
        <v>1105414</v>
      </c>
      <c r="T62" s="1">
        <v>3030971</v>
      </c>
      <c r="AG62" s="1"/>
      <c r="AH62" s="1"/>
      <c r="AI62" s="1"/>
    </row>
    <row r="63" spans="3:35" x14ac:dyDescent="0.3">
      <c r="C63" t="s">
        <v>98</v>
      </c>
      <c r="Q63" t="s">
        <v>3</v>
      </c>
      <c r="R63" s="1">
        <v>1415045</v>
      </c>
      <c r="S63" s="1">
        <v>1254863</v>
      </c>
      <c r="T63" s="1">
        <v>2895233</v>
      </c>
      <c r="AG63" s="1"/>
      <c r="AH63" s="1"/>
      <c r="AI63" s="1"/>
    </row>
    <row r="64" spans="3:35" ht="15" thickBot="1" x14ac:dyDescent="0.35">
      <c r="AG64" s="1"/>
      <c r="AH64" s="1"/>
      <c r="AI64" s="1"/>
    </row>
    <row r="65" spans="5:35" ht="15" thickBot="1" x14ac:dyDescent="0.35">
      <c r="E65" s="16" t="s">
        <v>132</v>
      </c>
      <c r="AG65" s="1"/>
      <c r="AH65" s="1"/>
      <c r="AI65" s="1"/>
    </row>
    <row r="66" spans="5:35" x14ac:dyDescent="0.3">
      <c r="F66" s="35" t="s">
        <v>131</v>
      </c>
      <c r="Q66" s="11" t="s">
        <v>128</v>
      </c>
      <c r="R66" s="9" t="s">
        <v>130</v>
      </c>
      <c r="S66" s="9" t="s">
        <v>129</v>
      </c>
      <c r="AG66" s="1"/>
      <c r="AH66" s="1"/>
      <c r="AI66" s="1"/>
    </row>
    <row r="67" spans="5:35" x14ac:dyDescent="0.3">
      <c r="H67" s="34" t="s">
        <v>128</v>
      </c>
      <c r="I67" s="33" t="s">
        <v>127</v>
      </c>
      <c r="J67" s="32" t="s">
        <v>126</v>
      </c>
      <c r="Q67" t="s">
        <v>20</v>
      </c>
      <c r="R67" s="1">
        <v>2737945</v>
      </c>
      <c r="S67" s="1">
        <v>2822</v>
      </c>
      <c r="AG67" s="1"/>
      <c r="AH67" s="1"/>
      <c r="AI67" s="1"/>
    </row>
    <row r="68" spans="5:35" x14ac:dyDescent="0.3">
      <c r="H68" s="31" t="str">
        <f>Q67</f>
        <v>2013/14</v>
      </c>
      <c r="I68" s="30">
        <f>R67</f>
        <v>2737945</v>
      </c>
      <c r="J68" s="29">
        <f>S67</f>
        <v>2822</v>
      </c>
      <c r="Q68" t="s">
        <v>18</v>
      </c>
      <c r="R68" s="1">
        <v>1915310</v>
      </c>
      <c r="S68" s="1">
        <v>2460</v>
      </c>
      <c r="AI68" s="1"/>
    </row>
    <row r="69" spans="5:35" x14ac:dyDescent="0.3">
      <c r="H69" s="31" t="str">
        <f>Q68</f>
        <v>2014/15</v>
      </c>
      <c r="I69" s="30">
        <f>R68</f>
        <v>1915310</v>
      </c>
      <c r="J69" s="29">
        <f>S68</f>
        <v>2460</v>
      </c>
      <c r="L69" s="25"/>
      <c r="Q69" t="s">
        <v>17</v>
      </c>
      <c r="R69" s="1">
        <v>2498134</v>
      </c>
      <c r="S69" s="1">
        <v>2653</v>
      </c>
      <c r="AG69" s="1"/>
      <c r="AH69" s="1"/>
      <c r="AI69" s="1"/>
    </row>
    <row r="70" spans="5:35" x14ac:dyDescent="0.3">
      <c r="H70" s="31" t="str">
        <f>Q69</f>
        <v>2015/16</v>
      </c>
      <c r="I70" s="30">
        <f>R69</f>
        <v>2498134</v>
      </c>
      <c r="J70" s="29">
        <f>S69</f>
        <v>2653</v>
      </c>
      <c r="L70" s="25"/>
      <c r="Q70" t="s">
        <v>14</v>
      </c>
      <c r="R70" s="1">
        <v>3159862</v>
      </c>
      <c r="S70" s="1">
        <v>3650</v>
      </c>
      <c r="AG70" s="1"/>
      <c r="AH70" s="1"/>
      <c r="AI70" s="1"/>
    </row>
    <row r="71" spans="5:35" x14ac:dyDescent="0.3">
      <c r="H71" s="31" t="str">
        <f>Q70</f>
        <v>2016/17</v>
      </c>
      <c r="I71" s="30">
        <f>R70</f>
        <v>3159862</v>
      </c>
      <c r="J71" s="29">
        <f>S70</f>
        <v>3650</v>
      </c>
      <c r="L71" s="25"/>
      <c r="Q71" t="s">
        <v>12</v>
      </c>
      <c r="R71" s="1">
        <v>2353796</v>
      </c>
      <c r="S71" s="1">
        <v>2653</v>
      </c>
      <c r="AG71" s="1"/>
      <c r="AH71" s="1"/>
      <c r="AI71" s="1"/>
    </row>
    <row r="72" spans="5:35" x14ac:dyDescent="0.3">
      <c r="H72" s="31" t="str">
        <f>Q71</f>
        <v>2017/18</v>
      </c>
      <c r="I72" s="30">
        <f>R71</f>
        <v>2353796</v>
      </c>
      <c r="J72" s="29">
        <f>S71</f>
        <v>2653</v>
      </c>
      <c r="L72" s="17" t="s">
        <v>113</v>
      </c>
      <c r="Q72" t="s">
        <v>9</v>
      </c>
      <c r="R72" s="1">
        <v>3142543</v>
      </c>
      <c r="S72" s="1">
        <v>3208</v>
      </c>
      <c r="AG72" s="1"/>
      <c r="AH72" s="1"/>
      <c r="AI72" s="1"/>
    </row>
    <row r="73" spans="5:35" x14ac:dyDescent="0.3">
      <c r="H73" s="31" t="str">
        <f>Q72</f>
        <v>2018/19</v>
      </c>
      <c r="I73" s="30">
        <f>R72</f>
        <v>3142543</v>
      </c>
      <c r="J73" s="29">
        <f>S72</f>
        <v>3208</v>
      </c>
      <c r="L73" s="25"/>
      <c r="Q73" t="s">
        <v>8</v>
      </c>
      <c r="R73" s="1">
        <v>3377967</v>
      </c>
      <c r="S73" s="1">
        <v>3212</v>
      </c>
      <c r="AG73" s="1"/>
      <c r="AH73" s="1"/>
      <c r="AI73" s="1"/>
    </row>
    <row r="74" spans="5:35" x14ac:dyDescent="0.3">
      <c r="H74" s="31" t="str">
        <f>Q73</f>
        <v>2019/20</v>
      </c>
      <c r="I74" s="30">
        <f>R73</f>
        <v>3377967</v>
      </c>
      <c r="J74" s="29">
        <f>S73</f>
        <v>3212</v>
      </c>
      <c r="L74" s="25"/>
      <c r="Q74" t="s">
        <v>7</v>
      </c>
      <c r="R74" s="1">
        <v>3603230</v>
      </c>
      <c r="S74" s="1">
        <v>3342</v>
      </c>
      <c r="AG74" s="1"/>
      <c r="AH74" s="1"/>
      <c r="AI74" s="1"/>
    </row>
    <row r="75" spans="5:35" x14ac:dyDescent="0.3">
      <c r="H75" s="31" t="str">
        <f>Q74</f>
        <v>2020/21</v>
      </c>
      <c r="I75" s="30">
        <f>R74</f>
        <v>3603230</v>
      </c>
      <c r="J75" s="29">
        <f>S74</f>
        <v>3342</v>
      </c>
      <c r="L75" s="25"/>
      <c r="Q75" t="s">
        <v>6</v>
      </c>
      <c r="R75" s="1">
        <v>3340985</v>
      </c>
      <c r="S75" s="1">
        <v>3099</v>
      </c>
      <c r="AI75" s="1"/>
    </row>
    <row r="76" spans="5:35" x14ac:dyDescent="0.3">
      <c r="H76" s="31" t="str">
        <f>Q75</f>
        <v>2021/22</v>
      </c>
      <c r="I76" s="30">
        <f>R75</f>
        <v>3340985</v>
      </c>
      <c r="J76" s="29">
        <f>S75</f>
        <v>3099</v>
      </c>
      <c r="L76" s="25"/>
      <c r="Q76" t="s">
        <v>5</v>
      </c>
      <c r="R76" s="1">
        <v>2823432</v>
      </c>
      <c r="S76" s="1">
        <v>2500</v>
      </c>
      <c r="AG76" s="1"/>
      <c r="AH76" s="1"/>
      <c r="AI76" s="1"/>
    </row>
    <row r="77" spans="5:35" x14ac:dyDescent="0.3">
      <c r="H77" s="31" t="str">
        <f>Q76</f>
        <v>2022/23</v>
      </c>
      <c r="I77" s="30">
        <f>R76</f>
        <v>2823432</v>
      </c>
      <c r="J77" s="29">
        <f>S76</f>
        <v>2500</v>
      </c>
      <c r="L77" s="25"/>
      <c r="Q77" t="s">
        <v>4</v>
      </c>
      <c r="R77" s="1">
        <v>3030971</v>
      </c>
      <c r="S77" s="1">
        <v>2742</v>
      </c>
      <c r="AG77" s="1"/>
      <c r="AH77" s="1"/>
      <c r="AI77" s="1"/>
    </row>
    <row r="78" spans="5:35" x14ac:dyDescent="0.3">
      <c r="H78" s="31" t="str">
        <f>Q77</f>
        <v>2023/24</v>
      </c>
      <c r="I78" s="30">
        <f>R77</f>
        <v>3030971</v>
      </c>
      <c r="J78" s="29">
        <f>S77</f>
        <v>2742</v>
      </c>
      <c r="L78" s="25"/>
      <c r="Q78" t="s">
        <v>3</v>
      </c>
      <c r="R78" s="1">
        <v>2895233</v>
      </c>
      <c r="S78" s="1">
        <v>2307</v>
      </c>
      <c r="AG78" s="1"/>
      <c r="AH78" s="1"/>
      <c r="AI78" s="1"/>
    </row>
    <row r="79" spans="5:35" x14ac:dyDescent="0.3">
      <c r="H79" s="28" t="str">
        <f>Q78</f>
        <v>2024/25</v>
      </c>
      <c r="I79" s="27">
        <f>R78</f>
        <v>2895233</v>
      </c>
      <c r="J79" s="26">
        <f>S78</f>
        <v>2307</v>
      </c>
      <c r="L79" s="25"/>
      <c r="AG79" s="1"/>
      <c r="AH79" s="1"/>
      <c r="AI79" s="1"/>
    </row>
    <row r="80" spans="5:35" x14ac:dyDescent="0.3">
      <c r="L80" s="24"/>
      <c r="AG80" s="1"/>
      <c r="AH80" s="1"/>
      <c r="AI80" s="1"/>
    </row>
    <row r="81" spans="3:35" x14ac:dyDescent="0.3">
      <c r="H81" s="23" t="s">
        <v>125</v>
      </c>
      <c r="I81" s="22">
        <f>(I79-I68)/I68</f>
        <v>5.7447465160914479E-2</v>
      </c>
      <c r="J81" s="21">
        <f>(J79-J68)/J68</f>
        <v>-0.18249468462083629</v>
      </c>
      <c r="R81" t="s">
        <v>124</v>
      </c>
      <c r="AG81" s="1"/>
      <c r="AH81" s="1"/>
      <c r="AI81" s="1"/>
    </row>
    <row r="82" spans="3:35" x14ac:dyDescent="0.3">
      <c r="H82" s="20" t="s">
        <v>123</v>
      </c>
      <c r="I82" s="19">
        <f>(I79/I68)^(1/11)-1</f>
        <v>5.0909105412622058E-3</v>
      </c>
      <c r="J82" s="18">
        <f>(J79/J68)^(1/11)-1</f>
        <v>-1.8151233969928793E-2</v>
      </c>
      <c r="R82" t="s">
        <v>122</v>
      </c>
      <c r="AG82" s="1"/>
      <c r="AH82" s="1"/>
      <c r="AI82" s="1"/>
    </row>
    <row r="83" spans="3:35" ht="15" thickBot="1" x14ac:dyDescent="0.35">
      <c r="C83" t="s">
        <v>98</v>
      </c>
      <c r="R83" s="5" t="s">
        <v>121</v>
      </c>
      <c r="S83" s="5" t="s">
        <v>120</v>
      </c>
      <c r="T83" s="5" t="s">
        <v>119</v>
      </c>
      <c r="U83" s="5" t="s">
        <v>118</v>
      </c>
      <c r="V83" s="5" t="s">
        <v>117</v>
      </c>
      <c r="W83" s="5" t="s">
        <v>116</v>
      </c>
      <c r="AI83" s="1"/>
    </row>
    <row r="84" spans="3:35" ht="15" thickBot="1" x14ac:dyDescent="0.35">
      <c r="E84" s="16" t="s">
        <v>115</v>
      </c>
      <c r="Q84" t="s">
        <v>18</v>
      </c>
      <c r="R84" s="1">
        <v>326120</v>
      </c>
      <c r="S84" s="1">
        <v>17610</v>
      </c>
      <c r="T84" s="1">
        <v>2407550</v>
      </c>
      <c r="U84" s="1">
        <v>1915310</v>
      </c>
      <c r="V84" s="1">
        <v>308840</v>
      </c>
      <c r="W84" s="1">
        <v>83400</v>
      </c>
      <c r="AG84" s="1"/>
      <c r="AH84" s="1"/>
      <c r="AI84" s="1"/>
    </row>
    <row r="85" spans="3:35" x14ac:dyDescent="0.3">
      <c r="Q85" t="s">
        <v>17</v>
      </c>
      <c r="R85" s="1">
        <v>292090</v>
      </c>
      <c r="S85" s="1">
        <v>10300</v>
      </c>
      <c r="T85" s="1">
        <v>4262476</v>
      </c>
      <c r="U85" s="1">
        <v>2498134</v>
      </c>
      <c r="V85" s="1">
        <v>484050</v>
      </c>
      <c r="W85" s="1">
        <v>96700</v>
      </c>
      <c r="AG85" s="1"/>
      <c r="AH85" s="1"/>
      <c r="AI85" s="1"/>
    </row>
    <row r="86" spans="3:35" x14ac:dyDescent="0.3">
      <c r="Q86" t="s">
        <v>14</v>
      </c>
      <c r="R86" s="1">
        <v>330448</v>
      </c>
      <c r="S86" s="1">
        <v>71530</v>
      </c>
      <c r="T86" s="1">
        <v>4483905</v>
      </c>
      <c r="U86" s="1">
        <v>3159862</v>
      </c>
      <c r="V86" s="1">
        <v>304490</v>
      </c>
      <c r="W86" s="1">
        <v>93600</v>
      </c>
      <c r="AG86" s="1"/>
      <c r="AH86" s="1"/>
      <c r="AI86" s="1"/>
    </row>
    <row r="87" spans="3:35" x14ac:dyDescent="0.3">
      <c r="Q87" t="s">
        <v>12</v>
      </c>
      <c r="R87" s="1">
        <v>394649</v>
      </c>
      <c r="S87" s="1">
        <v>47470</v>
      </c>
      <c r="T87" s="1">
        <v>3661765</v>
      </c>
      <c r="U87" s="1">
        <v>2353796</v>
      </c>
      <c r="V87" s="1">
        <v>151185</v>
      </c>
      <c r="W87" s="1">
        <v>105700</v>
      </c>
      <c r="AG87" s="1"/>
      <c r="AH87" s="1"/>
      <c r="AI87" s="1"/>
    </row>
    <row r="88" spans="3:35" x14ac:dyDescent="0.3">
      <c r="Q88" t="s">
        <v>9</v>
      </c>
      <c r="R88" s="1">
        <v>551040</v>
      </c>
      <c r="S88" s="1">
        <v>222218</v>
      </c>
      <c r="T88" s="1">
        <v>4405979</v>
      </c>
      <c r="U88" s="1">
        <v>3142543</v>
      </c>
      <c r="V88" s="1">
        <v>218056</v>
      </c>
      <c r="W88" s="1">
        <v>117600</v>
      </c>
      <c r="AG88" s="1"/>
      <c r="AH88" s="1"/>
      <c r="AI88" s="1"/>
    </row>
    <row r="89" spans="3:35" x14ac:dyDescent="0.3">
      <c r="Q89" t="s">
        <v>8</v>
      </c>
      <c r="R89" s="1">
        <v>555715</v>
      </c>
      <c r="S89" s="1">
        <v>151461</v>
      </c>
      <c r="T89" s="1">
        <v>5653025</v>
      </c>
      <c r="U89" s="1">
        <v>3377967</v>
      </c>
      <c r="V89" s="1">
        <v>240331</v>
      </c>
      <c r="W89" s="1">
        <v>112399</v>
      </c>
      <c r="AG89" s="1"/>
      <c r="AH89" s="1"/>
      <c r="AI89" s="1"/>
    </row>
    <row r="90" spans="3:35" x14ac:dyDescent="0.3">
      <c r="Q90" t="s">
        <v>7</v>
      </c>
      <c r="R90" s="1">
        <v>500110</v>
      </c>
      <c r="S90" s="1">
        <v>54443</v>
      </c>
      <c r="T90" s="1">
        <v>5138847</v>
      </c>
      <c r="U90" s="1">
        <v>3603230</v>
      </c>
      <c r="V90" s="1">
        <v>402233</v>
      </c>
      <c r="W90" s="1">
        <v>126768</v>
      </c>
      <c r="AI90" s="1"/>
    </row>
    <row r="91" spans="3:35" x14ac:dyDescent="0.3">
      <c r="Q91" t="s">
        <v>6</v>
      </c>
      <c r="R91" s="1">
        <v>642082</v>
      </c>
      <c r="S91" s="1">
        <v>45026</v>
      </c>
      <c r="T91" s="1">
        <v>5386950</v>
      </c>
      <c r="U91" s="1">
        <v>3340985</v>
      </c>
      <c r="V91" s="1">
        <v>375926</v>
      </c>
      <c r="W91" s="1">
        <v>96325</v>
      </c>
      <c r="AG91" s="1"/>
      <c r="AH91" s="1"/>
      <c r="AI91" s="1"/>
    </row>
    <row r="92" spans="3:35" x14ac:dyDescent="0.3">
      <c r="K92" s="4" t="s">
        <v>114</v>
      </c>
      <c r="Q92" t="s">
        <v>5</v>
      </c>
      <c r="R92" s="1">
        <v>339228</v>
      </c>
      <c r="S92" s="1">
        <v>70695</v>
      </c>
      <c r="T92" s="1">
        <v>4549312</v>
      </c>
      <c r="U92" s="1">
        <v>2823432</v>
      </c>
      <c r="V92" s="1">
        <v>352529</v>
      </c>
      <c r="W92" s="1">
        <v>200120</v>
      </c>
      <c r="AG92" s="1"/>
      <c r="AH92" s="1"/>
      <c r="AI92" s="1"/>
    </row>
    <row r="93" spans="3:35" x14ac:dyDescent="0.3">
      <c r="Q93" t="s">
        <v>4</v>
      </c>
      <c r="R93" s="1">
        <v>595011</v>
      </c>
      <c r="S93" s="1">
        <v>21457</v>
      </c>
      <c r="T93" s="1">
        <v>1551073</v>
      </c>
      <c r="U93" s="1">
        <v>3030971</v>
      </c>
      <c r="V93" s="1">
        <v>314300</v>
      </c>
      <c r="W93" s="1">
        <v>97686</v>
      </c>
      <c r="AG93" s="1"/>
      <c r="AH93" s="1"/>
      <c r="AI93" s="1"/>
    </row>
    <row r="94" spans="3:35" x14ac:dyDescent="0.3">
      <c r="K94" s="17" t="s">
        <v>113</v>
      </c>
      <c r="Q94" t="s">
        <v>3</v>
      </c>
      <c r="R94" s="1">
        <v>440033</v>
      </c>
      <c r="S94" s="1">
        <v>73052</v>
      </c>
      <c r="T94" s="1">
        <v>1612241</v>
      </c>
      <c r="U94" s="1">
        <v>2895233</v>
      </c>
      <c r="V94" s="1">
        <v>325826</v>
      </c>
      <c r="W94" s="1">
        <v>193944</v>
      </c>
      <c r="AG94" s="1"/>
      <c r="AH94" s="1"/>
      <c r="AI94" s="1"/>
    </row>
    <row r="95" spans="3:35" x14ac:dyDescent="0.3">
      <c r="AG95" s="1"/>
      <c r="AH95" s="1"/>
      <c r="AI95" s="1"/>
    </row>
    <row r="96" spans="3:35" x14ac:dyDescent="0.3">
      <c r="K96" s="17" t="s">
        <v>112</v>
      </c>
      <c r="AG96" s="1"/>
      <c r="AH96" s="1"/>
      <c r="AI96" s="1"/>
    </row>
    <row r="97" spans="3:35" x14ac:dyDescent="0.3">
      <c r="AI97" s="1"/>
    </row>
    <row r="98" spans="3:35" x14ac:dyDescent="0.3">
      <c r="X98" s="1"/>
      <c r="Y98" s="1"/>
      <c r="AG98" s="1"/>
      <c r="AH98" s="1"/>
      <c r="AI98" s="1"/>
    </row>
    <row r="99" spans="3:35" x14ac:dyDescent="0.3">
      <c r="X99" s="1"/>
      <c r="Y99" s="1"/>
      <c r="AG99" s="1"/>
      <c r="AH99" s="1"/>
      <c r="AI99" s="1"/>
    </row>
    <row r="100" spans="3:35" x14ac:dyDescent="0.3">
      <c r="X100" s="1"/>
      <c r="Y100" s="1"/>
      <c r="AG100" s="1"/>
      <c r="AH100" s="1"/>
      <c r="AI100" s="1"/>
    </row>
    <row r="101" spans="3:35" x14ac:dyDescent="0.3">
      <c r="X101" s="1"/>
      <c r="Y101" s="1"/>
      <c r="AG101" s="1"/>
      <c r="AH101" s="1"/>
      <c r="AI101" s="1"/>
    </row>
    <row r="102" spans="3:35" ht="15" thickBot="1" x14ac:dyDescent="0.35">
      <c r="C102" t="s">
        <v>98</v>
      </c>
      <c r="X102" s="1"/>
      <c r="Y102" s="1"/>
      <c r="AG102" s="1"/>
      <c r="AH102" s="1"/>
      <c r="AI102" s="1"/>
    </row>
    <row r="103" spans="3:35" ht="15" thickBot="1" x14ac:dyDescent="0.35">
      <c r="E103" s="16" t="s">
        <v>111</v>
      </c>
      <c r="X103" s="1"/>
      <c r="Y103" s="1"/>
      <c r="AG103" s="1"/>
      <c r="AH103" s="1"/>
      <c r="AI103" s="1"/>
    </row>
    <row r="104" spans="3:35" x14ac:dyDescent="0.3">
      <c r="X104" s="1"/>
      <c r="Y104" s="1"/>
      <c r="AG104" s="1"/>
      <c r="AH104" s="1"/>
      <c r="AI104" s="1"/>
    </row>
    <row r="105" spans="3:35" x14ac:dyDescent="0.3">
      <c r="X105" s="1"/>
      <c r="Y105" s="1"/>
      <c r="AG105" s="1"/>
      <c r="AH105" s="1"/>
      <c r="AI105" s="1"/>
    </row>
    <row r="106" spans="3:35" x14ac:dyDescent="0.3">
      <c r="X106" s="1"/>
      <c r="Y106" s="1"/>
      <c r="AG106" s="1"/>
      <c r="AH106" s="1"/>
      <c r="AI106" s="1"/>
    </row>
    <row r="107" spans="3:35" x14ac:dyDescent="0.3">
      <c r="X107" s="1"/>
      <c r="Y107" s="1"/>
      <c r="AI107" s="1"/>
    </row>
    <row r="108" spans="3:35" x14ac:dyDescent="0.3">
      <c r="X108" s="1"/>
      <c r="Y108" s="1"/>
      <c r="AG108" s="1"/>
      <c r="AH108" s="1"/>
      <c r="AI108" s="1"/>
    </row>
    <row r="109" spans="3:35" x14ac:dyDescent="0.3">
      <c r="X109" s="1"/>
      <c r="Y109" s="1"/>
      <c r="AG109" s="1"/>
      <c r="AH109" s="1"/>
      <c r="AI109" s="1"/>
    </row>
    <row r="110" spans="3:35" x14ac:dyDescent="0.3">
      <c r="K110" s="17" t="s">
        <v>110</v>
      </c>
      <c r="X110" s="1"/>
      <c r="Y110" s="1"/>
      <c r="AG110" s="1"/>
      <c r="AH110" s="1"/>
      <c r="AI110" s="1"/>
    </row>
    <row r="111" spans="3:35" x14ac:dyDescent="0.3">
      <c r="X111" s="1"/>
      <c r="Y111" s="1"/>
      <c r="AG111" s="1"/>
      <c r="AH111" s="1"/>
      <c r="AI111" s="1"/>
    </row>
    <row r="112" spans="3:35" x14ac:dyDescent="0.3">
      <c r="X112" s="1"/>
      <c r="Y112" s="1"/>
      <c r="AG112" s="1"/>
      <c r="AH112" s="1"/>
      <c r="AI112" s="1"/>
    </row>
    <row r="113" spans="3:35" x14ac:dyDescent="0.3">
      <c r="X113" s="1"/>
      <c r="Y113" s="1"/>
      <c r="AG113" s="1"/>
      <c r="AH113" s="1"/>
      <c r="AI113" s="1"/>
    </row>
    <row r="114" spans="3:35" x14ac:dyDescent="0.3">
      <c r="X114" s="1"/>
      <c r="Y114" s="1"/>
      <c r="AG114" s="1"/>
      <c r="AH114" s="1"/>
      <c r="AI114" s="1"/>
    </row>
    <row r="115" spans="3:35" x14ac:dyDescent="0.3">
      <c r="X115" s="1"/>
      <c r="Y115" s="1"/>
      <c r="AG115" s="1"/>
      <c r="AH115" s="1"/>
      <c r="AI115" s="1"/>
    </row>
    <row r="116" spans="3:35" x14ac:dyDescent="0.3">
      <c r="X116" s="1"/>
      <c r="Y116" s="1"/>
      <c r="AG116" s="1"/>
      <c r="AH116" s="1"/>
      <c r="AI116" s="1"/>
    </row>
    <row r="117" spans="3:35" x14ac:dyDescent="0.3">
      <c r="X117" s="1"/>
      <c r="Y117" s="1"/>
      <c r="AG117" s="1"/>
      <c r="AH117" s="1"/>
      <c r="AI117" s="1"/>
    </row>
    <row r="118" spans="3:35" x14ac:dyDescent="0.3">
      <c r="X118" s="1"/>
      <c r="Y118" s="1"/>
      <c r="AG118" s="1"/>
      <c r="AH118" s="1"/>
      <c r="AI118" s="1"/>
    </row>
    <row r="119" spans="3:35" x14ac:dyDescent="0.3">
      <c r="X119" s="1"/>
      <c r="Y119" s="1"/>
      <c r="AG119" s="1"/>
      <c r="AH119" s="1"/>
      <c r="AI119" s="1"/>
    </row>
    <row r="120" spans="3:35" x14ac:dyDescent="0.3">
      <c r="W120" s="1"/>
      <c r="X120" s="1"/>
      <c r="Y120" s="1"/>
      <c r="AI120" s="1"/>
    </row>
    <row r="121" spans="3:35" x14ac:dyDescent="0.3">
      <c r="W121" s="1"/>
      <c r="X121" s="1"/>
      <c r="Y121" s="1"/>
      <c r="AG121" s="1"/>
      <c r="AH121" s="1"/>
      <c r="AI121" s="1"/>
    </row>
    <row r="122" spans="3:35" x14ac:dyDescent="0.3">
      <c r="C122" t="s">
        <v>98</v>
      </c>
      <c r="W122" s="1"/>
      <c r="X122" s="1"/>
      <c r="Y122" s="1"/>
      <c r="AG122" s="1"/>
      <c r="AH122" s="1"/>
      <c r="AI122" s="1"/>
    </row>
    <row r="123" spans="3:35" ht="15" thickBot="1" x14ac:dyDescent="0.35">
      <c r="X123" s="1"/>
      <c r="Y123" s="9"/>
      <c r="AG123" s="1"/>
      <c r="AH123" s="1"/>
      <c r="AI123" s="1"/>
    </row>
    <row r="124" spans="3:35" ht="15" thickBot="1" x14ac:dyDescent="0.35">
      <c r="E124" s="16" t="s">
        <v>109</v>
      </c>
      <c r="W124" s="1"/>
      <c r="X124" s="1"/>
      <c r="Y124" s="1"/>
      <c r="AG124" s="1"/>
      <c r="AH124" s="1"/>
      <c r="AI124" s="1"/>
    </row>
    <row r="125" spans="3:35" x14ac:dyDescent="0.3">
      <c r="D125" s="11" t="s">
        <v>108</v>
      </c>
      <c r="J125" s="4" t="s">
        <v>107</v>
      </c>
      <c r="W125" s="1"/>
      <c r="X125" s="1"/>
      <c r="Y125" s="1"/>
      <c r="AG125" s="1"/>
      <c r="AH125" s="1"/>
      <c r="AI125" s="1"/>
    </row>
    <row r="126" spans="3:35" x14ac:dyDescent="0.3">
      <c r="W126" s="1"/>
      <c r="X126" s="1"/>
      <c r="Y126" s="1"/>
      <c r="AG126" s="1"/>
      <c r="AH126" s="1"/>
      <c r="AI126" s="1"/>
    </row>
    <row r="127" spans="3:35" x14ac:dyDescent="0.3">
      <c r="W127" s="1"/>
      <c r="X127" s="1"/>
      <c r="Y127" s="1"/>
      <c r="AG127" s="1"/>
      <c r="AH127" s="1"/>
      <c r="AI127" s="1"/>
    </row>
    <row r="128" spans="3:35" x14ac:dyDescent="0.3">
      <c r="W128" s="1"/>
      <c r="X128" s="1"/>
      <c r="Y128" s="1"/>
      <c r="AG128" s="1"/>
      <c r="AH128" s="1"/>
      <c r="AI128" s="1"/>
    </row>
    <row r="129" spans="4:35" x14ac:dyDescent="0.3">
      <c r="K129" t="s">
        <v>106</v>
      </c>
      <c r="W129" s="1"/>
      <c r="X129" s="1"/>
      <c r="Y129" s="1"/>
      <c r="AG129" s="1"/>
      <c r="AH129" s="1"/>
      <c r="AI129" s="1"/>
    </row>
    <row r="130" spans="4:35" x14ac:dyDescent="0.3">
      <c r="J130" s="15" t="s">
        <v>105</v>
      </c>
      <c r="K130" s="1">
        <v>101766</v>
      </c>
      <c r="W130" s="1"/>
      <c r="X130" s="1"/>
      <c r="Y130" s="1"/>
      <c r="AG130" s="1"/>
      <c r="AH130" s="1"/>
      <c r="AI130" s="1"/>
    </row>
    <row r="131" spans="4:35" x14ac:dyDescent="0.3">
      <c r="J131" s="15" t="s">
        <v>104</v>
      </c>
      <c r="K131" s="1">
        <v>14396</v>
      </c>
      <c r="W131" s="1"/>
      <c r="X131" s="1"/>
      <c r="Y131" s="1"/>
      <c r="AG131" s="1"/>
      <c r="AH131" s="1"/>
      <c r="AI131" s="1"/>
    </row>
    <row r="132" spans="4:35" x14ac:dyDescent="0.3">
      <c r="J132" s="15" t="s">
        <v>103</v>
      </c>
      <c r="K132" s="1">
        <v>740812</v>
      </c>
      <c r="T132" s="1"/>
      <c r="X132" s="1"/>
      <c r="Y132" s="9"/>
      <c r="AG132" s="1"/>
      <c r="AH132" s="1"/>
      <c r="AI132" s="1"/>
    </row>
    <row r="133" spans="4:35" x14ac:dyDescent="0.3">
      <c r="J133" s="15" t="s">
        <v>102</v>
      </c>
      <c r="K133" s="1">
        <v>473056</v>
      </c>
      <c r="W133" s="1"/>
      <c r="X133" s="1"/>
      <c r="Y133" s="1"/>
      <c r="AG133" s="1"/>
      <c r="AH133" s="1"/>
      <c r="AI133" s="1"/>
    </row>
    <row r="134" spans="4:35" x14ac:dyDescent="0.3">
      <c r="J134" s="15" t="s">
        <v>101</v>
      </c>
      <c r="K134" s="1">
        <v>2895233</v>
      </c>
      <c r="W134" s="1"/>
      <c r="X134" s="1"/>
      <c r="Y134" s="1"/>
      <c r="AG134" s="1"/>
      <c r="AH134" s="1"/>
      <c r="AI134" s="1"/>
    </row>
    <row r="135" spans="4:35" x14ac:dyDescent="0.3">
      <c r="W135" s="1"/>
      <c r="X135" s="1"/>
      <c r="Y135" s="1"/>
      <c r="AG135" s="1"/>
      <c r="AH135" s="1"/>
      <c r="AI135" s="1"/>
    </row>
    <row r="136" spans="4:35" x14ac:dyDescent="0.3">
      <c r="W136" s="1"/>
      <c r="X136" s="1"/>
      <c r="Y136" s="1"/>
      <c r="AG136" s="1"/>
      <c r="AH136" s="1"/>
      <c r="AI136" s="1"/>
    </row>
    <row r="137" spans="4:35" x14ac:dyDescent="0.3">
      <c r="J137" s="14" t="s">
        <v>100</v>
      </c>
      <c r="W137" s="1"/>
      <c r="X137" s="1"/>
      <c r="Y137" s="1"/>
      <c r="AG137" s="1"/>
      <c r="AH137" s="1"/>
      <c r="AI137" s="1"/>
    </row>
    <row r="138" spans="4:35" x14ac:dyDescent="0.3">
      <c r="J138" s="4" t="s">
        <v>99</v>
      </c>
      <c r="W138" s="1"/>
      <c r="X138" s="1"/>
      <c r="Y138" s="1"/>
      <c r="AG138" s="1"/>
      <c r="AH138" s="1"/>
      <c r="AI138" s="1"/>
    </row>
    <row r="139" spans="4:35" x14ac:dyDescent="0.3">
      <c r="W139" s="1"/>
      <c r="X139" s="1"/>
      <c r="Y139" s="1"/>
      <c r="AG139" s="1"/>
      <c r="AH139" s="1"/>
      <c r="AI139" s="1"/>
    </row>
    <row r="140" spans="4:35" x14ac:dyDescent="0.3">
      <c r="W140" s="1"/>
      <c r="X140" s="1"/>
      <c r="Y140" s="1"/>
      <c r="AG140" s="1"/>
      <c r="AH140" s="1"/>
      <c r="AI140" s="1"/>
    </row>
    <row r="141" spans="4:35" x14ac:dyDescent="0.3">
      <c r="W141" s="1"/>
      <c r="X141" s="1"/>
      <c r="Y141" s="1"/>
      <c r="AG141" s="1"/>
      <c r="AH141" s="1"/>
      <c r="AI141" s="1"/>
    </row>
    <row r="142" spans="4:35" x14ac:dyDescent="0.3">
      <c r="W142" s="1"/>
      <c r="X142" s="1"/>
      <c r="Y142" s="1"/>
      <c r="AG142" s="1"/>
      <c r="AH142" s="1"/>
      <c r="AI142" s="1"/>
    </row>
    <row r="143" spans="4:35" x14ac:dyDescent="0.3">
      <c r="W143" s="1"/>
      <c r="X143" s="1"/>
      <c r="Y143" s="1"/>
      <c r="AG143" s="1"/>
      <c r="AH143" s="1"/>
      <c r="AI143" s="1"/>
    </row>
    <row r="144" spans="4:35" x14ac:dyDescent="0.3">
      <c r="D144" t="s">
        <v>98</v>
      </c>
      <c r="W144" s="1"/>
      <c r="X144" s="1"/>
      <c r="Y144" s="1"/>
      <c r="AG144" s="1"/>
      <c r="AH144" s="1"/>
      <c r="AI144" s="1"/>
    </row>
    <row r="145" spans="3:35" x14ac:dyDescent="0.3">
      <c r="W145" s="1"/>
      <c r="X145" s="1"/>
      <c r="Y145" s="1"/>
      <c r="AG145" s="1"/>
      <c r="AH145" s="1"/>
      <c r="AI145" s="1"/>
    </row>
    <row r="146" spans="3:35" x14ac:dyDescent="0.3">
      <c r="W146" s="1"/>
      <c r="X146" s="1"/>
      <c r="Y146" s="1"/>
      <c r="AG146" s="1"/>
      <c r="AH146" s="1"/>
      <c r="AI146" s="1"/>
    </row>
    <row r="147" spans="3:35" x14ac:dyDescent="0.3">
      <c r="W147" s="1"/>
      <c r="X147" s="1"/>
      <c r="Y147" s="1"/>
      <c r="AG147" s="1"/>
      <c r="AH147" s="1"/>
      <c r="AI147" s="1"/>
    </row>
    <row r="148" spans="3:35" x14ac:dyDescent="0.3">
      <c r="W148" s="1"/>
      <c r="X148" s="1"/>
      <c r="Y148" s="1"/>
      <c r="AG148" s="1"/>
      <c r="AH148" s="1"/>
      <c r="AI148" s="1"/>
    </row>
    <row r="149" spans="3:35" x14ac:dyDescent="0.3">
      <c r="W149" s="1"/>
      <c r="X149" s="1"/>
      <c r="Y149" s="1"/>
      <c r="AG149" s="1"/>
      <c r="AH149" s="1"/>
      <c r="AI149" s="1"/>
    </row>
    <row r="150" spans="3:35" x14ac:dyDescent="0.3">
      <c r="W150" s="1"/>
      <c r="X150" s="1"/>
      <c r="Y150" s="1"/>
      <c r="AG150" s="1"/>
      <c r="AH150" s="1"/>
      <c r="AI150" s="1"/>
    </row>
    <row r="151" spans="3:35" x14ac:dyDescent="0.3">
      <c r="C151" s="13" t="s">
        <v>97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X151" s="1"/>
      <c r="Y151" s="9"/>
      <c r="AG151" s="1"/>
      <c r="AH151" s="1"/>
      <c r="AI151" s="1"/>
    </row>
    <row r="152" spans="3:35" x14ac:dyDescent="0.3">
      <c r="W152" s="1"/>
      <c r="X152" s="1"/>
      <c r="Y152" s="1"/>
      <c r="AI152" s="1"/>
    </row>
    <row r="153" spans="3:35" x14ac:dyDescent="0.3">
      <c r="C153" t="s">
        <v>96</v>
      </c>
      <c r="W153" s="1"/>
      <c r="X153" s="1"/>
      <c r="Y153" s="1"/>
      <c r="AG153" s="1"/>
      <c r="AH153" s="1"/>
      <c r="AI153" s="1"/>
    </row>
    <row r="154" spans="3:35" x14ac:dyDescent="0.3">
      <c r="C154" t="s">
        <v>95</v>
      </c>
      <c r="W154" s="1"/>
      <c r="X154" s="1"/>
      <c r="Y154" s="1"/>
      <c r="AG154" s="1"/>
      <c r="AH154" s="1"/>
      <c r="AI154" s="1"/>
    </row>
    <row r="155" spans="3:35" x14ac:dyDescent="0.3">
      <c r="C155" t="s">
        <v>94</v>
      </c>
      <c r="W155" s="1"/>
      <c r="X155" s="1"/>
      <c r="Y155" s="1"/>
      <c r="AG155" s="1"/>
      <c r="AH155" s="1"/>
      <c r="AI155" s="1"/>
    </row>
    <row r="156" spans="3:35" x14ac:dyDescent="0.3">
      <c r="C156" t="s">
        <v>93</v>
      </c>
      <c r="W156" s="1"/>
      <c r="X156" s="1"/>
      <c r="Y156" s="1"/>
      <c r="AG156" s="1"/>
      <c r="AH156" s="1"/>
      <c r="AI156" s="1"/>
    </row>
    <row r="157" spans="3:35" x14ac:dyDescent="0.3">
      <c r="C157" t="s">
        <v>92</v>
      </c>
      <c r="W157" s="1"/>
      <c r="X157" s="1"/>
      <c r="Y157" s="1"/>
      <c r="AG157" s="1"/>
      <c r="AH157" s="1"/>
      <c r="AI157" s="1"/>
    </row>
    <row r="158" spans="3:35" x14ac:dyDescent="0.3">
      <c r="C158" t="s">
        <v>91</v>
      </c>
      <c r="W158" s="1"/>
      <c r="X158" s="1"/>
      <c r="Y158" s="1"/>
      <c r="AG158" s="1"/>
      <c r="AH158" s="1"/>
      <c r="AI158" s="1"/>
    </row>
    <row r="159" spans="3:35" x14ac:dyDescent="0.3">
      <c r="W159" s="1"/>
      <c r="X159" s="1"/>
      <c r="Y159" s="1"/>
      <c r="AG159" s="1"/>
      <c r="AH159" s="1"/>
      <c r="AI159" s="1"/>
    </row>
    <row r="160" spans="3:35" x14ac:dyDescent="0.3">
      <c r="W160" s="1"/>
      <c r="X160" s="1"/>
      <c r="Y160" s="1"/>
      <c r="AG160" s="1"/>
      <c r="AH160" s="1"/>
      <c r="AI160" s="1"/>
    </row>
    <row r="161" spans="3:35" x14ac:dyDescent="0.3">
      <c r="W161" s="1"/>
      <c r="X161" s="1"/>
      <c r="Y161" s="1"/>
      <c r="AG161" s="1"/>
      <c r="AH161" s="1"/>
      <c r="AI161" s="1"/>
    </row>
    <row r="162" spans="3:35" x14ac:dyDescent="0.3">
      <c r="C162" s="13" t="s">
        <v>90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W162" s="1"/>
      <c r="X162" s="1"/>
      <c r="Y162" s="1"/>
      <c r="AG162" s="1"/>
      <c r="AH162" s="1"/>
      <c r="AI162" s="1"/>
    </row>
    <row r="163" spans="3:35" x14ac:dyDescent="0.3">
      <c r="W163" s="1"/>
      <c r="X163" s="1"/>
      <c r="Y163" s="1"/>
      <c r="AG163" s="1"/>
      <c r="AH163" s="1"/>
      <c r="AI163" s="1"/>
    </row>
    <row r="164" spans="3:35" x14ac:dyDescent="0.3">
      <c r="C164" t="s">
        <v>89</v>
      </c>
      <c r="W164" s="1"/>
      <c r="X164" s="1"/>
      <c r="Y164" s="1"/>
      <c r="AG164" s="1"/>
      <c r="AH164" s="1"/>
      <c r="AI164" s="1"/>
    </row>
    <row r="165" spans="3:35" x14ac:dyDescent="0.3">
      <c r="C165" t="s">
        <v>88</v>
      </c>
      <c r="W165" s="1"/>
      <c r="X165" s="1"/>
      <c r="Y165" s="1"/>
      <c r="AG165" s="1"/>
      <c r="AH165" s="1"/>
      <c r="AI165" s="1"/>
    </row>
    <row r="166" spans="3:35" x14ac:dyDescent="0.3">
      <c r="W166" s="1"/>
      <c r="X166" s="1"/>
      <c r="Y166" s="1"/>
      <c r="AG166" s="1"/>
      <c r="AH166" s="1"/>
      <c r="AI166" s="1"/>
    </row>
    <row r="167" spans="3:35" x14ac:dyDescent="0.3">
      <c r="C167" s="4" t="s">
        <v>87</v>
      </c>
      <c r="X167" s="1"/>
      <c r="Y167" s="9"/>
      <c r="AG167" s="1"/>
      <c r="AH167" s="1"/>
      <c r="AI167" s="1"/>
    </row>
    <row r="168" spans="3:35" x14ac:dyDescent="0.3">
      <c r="W168" s="1"/>
      <c r="X168" s="1"/>
      <c r="Y168" s="9"/>
      <c r="AG168" s="1"/>
      <c r="AH168" s="1"/>
      <c r="AI168" s="1"/>
    </row>
    <row r="169" spans="3:35" x14ac:dyDescent="0.3">
      <c r="X169" s="1"/>
      <c r="Y169" s="1"/>
      <c r="AG169" s="1"/>
      <c r="AH169" s="1"/>
      <c r="AI169" s="1"/>
    </row>
    <row r="170" spans="3:35" x14ac:dyDescent="0.3">
      <c r="C170" s="11" t="s">
        <v>86</v>
      </c>
      <c r="X170" s="1"/>
      <c r="Y170" s="1"/>
      <c r="AG170" s="1"/>
      <c r="AH170" s="1"/>
      <c r="AI170" s="1"/>
    </row>
    <row r="171" spans="3:35" x14ac:dyDescent="0.3">
      <c r="C171" s="11" t="s">
        <v>82</v>
      </c>
      <c r="D171" s="11" t="s">
        <v>5</v>
      </c>
      <c r="E171" s="11" t="s">
        <v>4</v>
      </c>
      <c r="F171" s="11" t="s">
        <v>3</v>
      </c>
      <c r="G171" s="11" t="s">
        <v>85</v>
      </c>
      <c r="H171" s="11" t="s">
        <v>84</v>
      </c>
      <c r="X171" s="1"/>
      <c r="Y171" s="1"/>
      <c r="AG171" s="1"/>
      <c r="AH171" s="1"/>
      <c r="AI171" s="1"/>
    </row>
    <row r="172" spans="3:35" x14ac:dyDescent="0.3">
      <c r="C172" s="10" t="s">
        <v>74</v>
      </c>
      <c r="D172" s="1">
        <v>2743</v>
      </c>
      <c r="E172" s="1">
        <v>2886</v>
      </c>
      <c r="F172" s="1">
        <v>3283</v>
      </c>
      <c r="G172" s="9">
        <v>2970.6666666666665</v>
      </c>
      <c r="H172" t="s">
        <v>71</v>
      </c>
      <c r="X172" s="1"/>
      <c r="Y172" s="1"/>
      <c r="AG172" s="1"/>
      <c r="AH172" s="1"/>
      <c r="AI172" s="1"/>
    </row>
    <row r="173" spans="3:35" x14ac:dyDescent="0.3">
      <c r="C173" s="10" t="s">
        <v>75</v>
      </c>
      <c r="D173" s="1">
        <v>2601</v>
      </c>
      <c r="E173" s="1">
        <v>2860</v>
      </c>
      <c r="F173" s="1">
        <v>3273</v>
      </c>
      <c r="G173" s="9">
        <v>2911.3333333333335</v>
      </c>
      <c r="H173" t="s">
        <v>73</v>
      </c>
      <c r="X173" s="1"/>
      <c r="Y173" s="1"/>
      <c r="AG173" s="1"/>
      <c r="AH173" s="1"/>
      <c r="AI173" s="1"/>
    </row>
    <row r="174" spans="3:35" x14ac:dyDescent="0.3">
      <c r="C174" s="10" t="s">
        <v>68</v>
      </c>
      <c r="D174" s="1">
        <v>1629</v>
      </c>
      <c r="E174" s="1">
        <v>3900</v>
      </c>
      <c r="F174" s="1">
        <v>2796</v>
      </c>
      <c r="G174" s="9">
        <v>2775</v>
      </c>
      <c r="H174" t="s">
        <v>59</v>
      </c>
      <c r="X174" s="1"/>
      <c r="Y174" s="1"/>
      <c r="AG174" s="1"/>
      <c r="AH174" s="1"/>
      <c r="AI174" s="1"/>
    </row>
    <row r="175" spans="3:35" x14ac:dyDescent="0.3">
      <c r="C175" s="10" t="s">
        <v>70</v>
      </c>
      <c r="D175" s="1">
        <v>1735</v>
      </c>
      <c r="E175" s="1">
        <v>3489</v>
      </c>
      <c r="F175" s="1">
        <v>2806</v>
      </c>
      <c r="G175" s="9">
        <v>2676.6666666666665</v>
      </c>
      <c r="H175" t="s">
        <v>60</v>
      </c>
      <c r="X175" s="1"/>
      <c r="Y175" s="1"/>
      <c r="AG175" s="1"/>
      <c r="AH175" s="1"/>
      <c r="AI175" s="1"/>
    </row>
    <row r="176" spans="3:35" x14ac:dyDescent="0.3">
      <c r="C176" s="10" t="s">
        <v>69</v>
      </c>
      <c r="D176" s="1">
        <v>2764</v>
      </c>
      <c r="E176" s="1">
        <v>2879</v>
      </c>
      <c r="F176" s="1">
        <v>2314</v>
      </c>
      <c r="G176" s="9">
        <v>2652.3333333333335</v>
      </c>
      <c r="H176" t="s">
        <v>66</v>
      </c>
      <c r="X176" s="1"/>
      <c r="Y176" s="1"/>
      <c r="AG176" s="1"/>
      <c r="AH176" s="1"/>
      <c r="AI176" s="1"/>
    </row>
    <row r="177" spans="3:35" x14ac:dyDescent="0.3">
      <c r="C177" s="10" t="s">
        <v>58</v>
      </c>
      <c r="D177" s="1">
        <v>2660</v>
      </c>
      <c r="E177" s="1">
        <v>2581</v>
      </c>
      <c r="F177" s="1">
        <v>2652</v>
      </c>
      <c r="G177" s="9">
        <v>2631</v>
      </c>
      <c r="H177" t="s">
        <v>67</v>
      </c>
      <c r="X177" s="1"/>
      <c r="Y177" s="1"/>
      <c r="AG177" s="1"/>
      <c r="AH177" s="1"/>
      <c r="AI177" s="1"/>
    </row>
    <row r="178" spans="3:35" x14ac:dyDescent="0.3">
      <c r="C178" s="10" t="s">
        <v>42</v>
      </c>
      <c r="D178" s="1">
        <v>1500</v>
      </c>
      <c r="E178" s="1">
        <v>3492</v>
      </c>
      <c r="F178" s="1">
        <v>2840</v>
      </c>
      <c r="G178" s="9">
        <v>2610.6666666666665</v>
      </c>
      <c r="H178" t="s">
        <v>61</v>
      </c>
      <c r="X178" s="1"/>
      <c r="Y178" s="1"/>
      <c r="AG178" s="1"/>
      <c r="AH178" s="1"/>
      <c r="AI178" s="1"/>
    </row>
    <row r="179" spans="3:35" x14ac:dyDescent="0.3">
      <c r="C179" s="10" t="s">
        <v>56</v>
      </c>
      <c r="D179" s="1">
        <v>1500</v>
      </c>
      <c r="E179" s="1">
        <v>3786</v>
      </c>
      <c r="F179" s="1">
        <v>2500</v>
      </c>
      <c r="G179" s="9">
        <v>2595.3333333333335</v>
      </c>
      <c r="H179" t="s">
        <v>63</v>
      </c>
      <c r="X179" s="1"/>
      <c r="Y179" s="1"/>
      <c r="AG179" s="1"/>
      <c r="AH179" s="1"/>
      <c r="AI179" s="1"/>
    </row>
    <row r="180" spans="3:35" x14ac:dyDescent="0.3">
      <c r="C180" s="10" t="s">
        <v>31</v>
      </c>
      <c r="D180" s="1">
        <v>1500</v>
      </c>
      <c r="E180" s="1">
        <v>3514</v>
      </c>
      <c r="F180" s="1">
        <v>2695</v>
      </c>
      <c r="G180" s="9">
        <v>2569.6666666666665</v>
      </c>
      <c r="H180" t="s">
        <v>57</v>
      </c>
      <c r="X180" s="1"/>
      <c r="Y180" s="1"/>
      <c r="AG180" s="1"/>
      <c r="AH180" s="1"/>
      <c r="AI180" s="1"/>
    </row>
    <row r="181" spans="3:35" x14ac:dyDescent="0.3">
      <c r="C181" s="10" t="s">
        <v>65</v>
      </c>
      <c r="D181" s="1">
        <v>1500</v>
      </c>
      <c r="E181" s="1">
        <v>3472</v>
      </c>
      <c r="F181" s="1">
        <v>2623</v>
      </c>
      <c r="G181" s="9">
        <v>2531.6666666666665</v>
      </c>
      <c r="H181" t="s">
        <v>50</v>
      </c>
      <c r="X181" s="1"/>
      <c r="Y181" s="1"/>
      <c r="AG181" s="1"/>
      <c r="AH181" s="1"/>
      <c r="AI181" s="1"/>
    </row>
    <row r="182" spans="3:35" x14ac:dyDescent="0.3">
      <c r="C182" s="10" t="s">
        <v>52</v>
      </c>
      <c r="D182" s="1">
        <v>1500</v>
      </c>
      <c r="E182" s="1">
        <v>3470</v>
      </c>
      <c r="F182" s="1">
        <v>2575</v>
      </c>
      <c r="G182" s="9">
        <v>2515</v>
      </c>
      <c r="H182" t="s">
        <v>49</v>
      </c>
      <c r="X182" s="1"/>
      <c r="Y182" s="1"/>
      <c r="AG182" s="1"/>
      <c r="AH182" s="1"/>
      <c r="AI182" s="1"/>
    </row>
    <row r="183" spans="3:35" x14ac:dyDescent="0.3">
      <c r="C183" s="10" t="s">
        <v>54</v>
      </c>
      <c r="D183" s="1">
        <v>1500</v>
      </c>
      <c r="E183" s="1">
        <v>3300</v>
      </c>
      <c r="F183" s="1">
        <v>2700</v>
      </c>
      <c r="G183" s="9">
        <v>2500</v>
      </c>
      <c r="H183" t="s">
        <v>53</v>
      </c>
      <c r="X183" s="1"/>
      <c r="Y183" s="1"/>
      <c r="AG183" s="1"/>
      <c r="AH183" s="1"/>
      <c r="AI183" s="1"/>
    </row>
    <row r="184" spans="3:35" x14ac:dyDescent="0.3">
      <c r="C184" s="10" t="s">
        <v>46</v>
      </c>
      <c r="D184" s="1">
        <v>1500</v>
      </c>
      <c r="E184" s="1">
        <v>3500</v>
      </c>
      <c r="F184" s="1">
        <v>2500</v>
      </c>
      <c r="G184" s="9">
        <v>2500</v>
      </c>
      <c r="H184" t="s">
        <v>35</v>
      </c>
      <c r="X184" s="1"/>
      <c r="Y184" s="1"/>
      <c r="AG184" s="1"/>
      <c r="AH184" s="1"/>
      <c r="AI184" s="1"/>
    </row>
    <row r="185" spans="3:35" x14ac:dyDescent="0.3">
      <c r="C185" s="10" t="s">
        <v>29</v>
      </c>
      <c r="D185" s="1">
        <v>1500</v>
      </c>
      <c r="E185" s="1">
        <v>3500</v>
      </c>
      <c r="F185" s="1">
        <v>2500</v>
      </c>
      <c r="G185" s="9">
        <v>2500</v>
      </c>
      <c r="H185" t="s">
        <v>47</v>
      </c>
      <c r="X185" s="1"/>
      <c r="Y185" s="1"/>
      <c r="AG185" s="1"/>
      <c r="AH185" s="1"/>
      <c r="AI185" s="1"/>
    </row>
    <row r="186" spans="3:35" x14ac:dyDescent="0.3">
      <c r="C186" s="10" t="s">
        <v>44</v>
      </c>
      <c r="D186" s="1">
        <v>1500</v>
      </c>
      <c r="E186" s="1">
        <v>3010</v>
      </c>
      <c r="F186" s="1">
        <v>2657</v>
      </c>
      <c r="G186" s="9">
        <v>2389</v>
      </c>
      <c r="H186" t="s">
        <v>45</v>
      </c>
      <c r="X186" s="1"/>
      <c r="Y186" s="1"/>
      <c r="AG186" s="1"/>
      <c r="AH186" s="1"/>
      <c r="AI186" s="1"/>
    </row>
    <row r="187" spans="3:35" x14ac:dyDescent="0.3">
      <c r="C187" s="10" t="s">
        <v>33</v>
      </c>
      <c r="D187" s="1">
        <v>1500</v>
      </c>
      <c r="E187" s="1">
        <v>3500</v>
      </c>
      <c r="F187" s="1">
        <v>2163</v>
      </c>
      <c r="G187" s="9">
        <v>2387.6666666666665</v>
      </c>
      <c r="H187" t="s">
        <v>43</v>
      </c>
      <c r="X187" s="1"/>
      <c r="Y187" s="1"/>
      <c r="AG187" s="1"/>
      <c r="AH187" s="1"/>
      <c r="AI187" s="1"/>
    </row>
    <row r="188" spans="3:35" x14ac:dyDescent="0.3">
      <c r="C188" s="10" t="s">
        <v>64</v>
      </c>
      <c r="D188" s="1">
        <v>2423</v>
      </c>
      <c r="E188" s="1">
        <v>2351</v>
      </c>
      <c r="F188" s="1">
        <v>2368</v>
      </c>
      <c r="G188" s="9">
        <v>2380.6666666666665</v>
      </c>
      <c r="H188" t="s">
        <v>39</v>
      </c>
      <c r="X188" s="1"/>
      <c r="Y188" s="1"/>
      <c r="AI188" s="1"/>
    </row>
    <row r="189" spans="3:35" x14ac:dyDescent="0.3">
      <c r="C189" s="10" t="s">
        <v>25</v>
      </c>
      <c r="D189" s="1">
        <v>2700</v>
      </c>
      <c r="E189" s="1">
        <v>2500</v>
      </c>
      <c r="F189" s="1">
        <v>1700</v>
      </c>
      <c r="G189" s="9">
        <v>2300</v>
      </c>
      <c r="H189" t="s">
        <v>40</v>
      </c>
      <c r="X189" s="1"/>
      <c r="Y189" s="1"/>
      <c r="AG189" s="1"/>
      <c r="AH189" s="1"/>
      <c r="AI189" s="1"/>
    </row>
    <row r="190" spans="3:35" x14ac:dyDescent="0.3">
      <c r="C190" s="10" t="s">
        <v>48</v>
      </c>
      <c r="D190" s="1">
        <v>1500</v>
      </c>
      <c r="E190" s="1">
        <v>3066</v>
      </c>
      <c r="F190" s="1">
        <v>2329</v>
      </c>
      <c r="G190" s="9">
        <v>2298.3333333333335</v>
      </c>
      <c r="H190" t="s">
        <v>34</v>
      </c>
      <c r="X190" s="1"/>
      <c r="Y190" s="1"/>
      <c r="AG190" s="1"/>
      <c r="AH190" s="1"/>
      <c r="AI190" s="1"/>
    </row>
    <row r="191" spans="3:35" x14ac:dyDescent="0.3">
      <c r="C191" s="10" t="s">
        <v>41</v>
      </c>
      <c r="D191" s="1">
        <v>1500</v>
      </c>
      <c r="E191" s="1">
        <v>3038</v>
      </c>
      <c r="F191" s="1">
        <v>2340</v>
      </c>
      <c r="G191" s="9">
        <v>2292.6666666666665</v>
      </c>
      <c r="H191" t="s">
        <v>32</v>
      </c>
      <c r="X191" s="1"/>
      <c r="Y191" s="1"/>
      <c r="AG191" s="1"/>
      <c r="AH191" s="1"/>
      <c r="AI191" s="1"/>
    </row>
    <row r="192" spans="3:35" x14ac:dyDescent="0.3">
      <c r="C192" s="10" t="s">
        <v>38</v>
      </c>
      <c r="D192" s="1">
        <v>1500</v>
      </c>
      <c r="E192" s="1">
        <v>3044</v>
      </c>
      <c r="F192" s="1">
        <v>2300</v>
      </c>
      <c r="G192" s="9">
        <v>2281.3333333333335</v>
      </c>
      <c r="H192" t="s">
        <v>36</v>
      </c>
      <c r="X192" s="1"/>
      <c r="Y192" s="1"/>
      <c r="AG192" s="1"/>
      <c r="AH192" s="1"/>
      <c r="AI192" s="1"/>
    </row>
    <row r="193" spans="3:35" x14ac:dyDescent="0.3">
      <c r="C193" s="10" t="s">
        <v>37</v>
      </c>
      <c r="D193" s="1">
        <v>2570</v>
      </c>
      <c r="E193" s="1">
        <v>2420</v>
      </c>
      <c r="F193" s="1">
        <v>1800</v>
      </c>
      <c r="G193" s="9">
        <v>2263.3333333333335</v>
      </c>
      <c r="H193" t="s">
        <v>30</v>
      </c>
      <c r="X193" s="1"/>
      <c r="Y193" s="1"/>
      <c r="AG193" s="1"/>
      <c r="AH193" s="1"/>
      <c r="AI193" s="1"/>
    </row>
    <row r="194" spans="3:35" x14ac:dyDescent="0.3">
      <c r="C194" s="10" t="s">
        <v>27</v>
      </c>
      <c r="D194" s="1">
        <v>1500</v>
      </c>
      <c r="E194" s="1">
        <v>3040</v>
      </c>
      <c r="F194" s="1">
        <v>2200</v>
      </c>
      <c r="G194" s="9">
        <v>2246.6666666666665</v>
      </c>
      <c r="H194" t="s">
        <v>22</v>
      </c>
      <c r="X194" s="1"/>
      <c r="Y194" s="1"/>
      <c r="AG194" s="1"/>
      <c r="AH194" s="1"/>
      <c r="AI194" s="1"/>
    </row>
    <row r="195" spans="3:35" x14ac:dyDescent="0.3">
      <c r="C195" s="10" t="s">
        <v>72</v>
      </c>
      <c r="D195" s="1">
        <v>2857</v>
      </c>
      <c r="E195" s="1">
        <v>2318</v>
      </c>
      <c r="F195" s="1">
        <v>1134</v>
      </c>
      <c r="G195" s="9">
        <v>2103</v>
      </c>
      <c r="H195" t="s">
        <v>28</v>
      </c>
      <c r="X195" s="1"/>
      <c r="Y195" s="1"/>
      <c r="AG195" s="1"/>
      <c r="AH195" s="1"/>
      <c r="AI195" s="1"/>
    </row>
    <row r="196" spans="3:35" x14ac:dyDescent="0.3">
      <c r="C196" s="10" t="s">
        <v>51</v>
      </c>
      <c r="D196" s="1">
        <v>2564</v>
      </c>
      <c r="E196" s="1">
        <v>2286</v>
      </c>
      <c r="F196" s="1">
        <v>1095</v>
      </c>
      <c r="G196" s="9">
        <v>1981.6666666666667</v>
      </c>
      <c r="H196" t="s">
        <v>23</v>
      </c>
      <c r="X196" s="1"/>
      <c r="Y196" s="1"/>
      <c r="AG196" s="1"/>
      <c r="AH196" s="1"/>
      <c r="AI196" s="1"/>
    </row>
    <row r="197" spans="3:35" x14ac:dyDescent="0.3">
      <c r="C197" s="10" t="s">
        <v>62</v>
      </c>
      <c r="D197" s="1">
        <v>2728</v>
      </c>
      <c r="E197" s="1">
        <v>1767</v>
      </c>
      <c r="F197" s="1">
        <v>700</v>
      </c>
      <c r="G197" s="9">
        <v>1731.6666666666667</v>
      </c>
      <c r="H197" t="s">
        <v>24</v>
      </c>
      <c r="X197" s="1"/>
      <c r="Y197" s="1"/>
      <c r="AG197" s="1"/>
      <c r="AH197" s="1"/>
      <c r="AI197" s="1"/>
    </row>
    <row r="198" spans="3:35" x14ac:dyDescent="0.3">
      <c r="X198" s="1"/>
      <c r="Y198" s="1"/>
      <c r="AG198" s="1"/>
      <c r="AH198" s="1"/>
      <c r="AI198" s="1"/>
    </row>
    <row r="199" spans="3:35" x14ac:dyDescent="0.3">
      <c r="X199" s="1"/>
      <c r="Y199" s="1"/>
      <c r="AG199" s="1"/>
      <c r="AH199" s="1"/>
      <c r="AI199" s="1"/>
    </row>
    <row r="200" spans="3:35" x14ac:dyDescent="0.3">
      <c r="C200" s="8" t="s">
        <v>83</v>
      </c>
      <c r="X200" s="1"/>
      <c r="Y200" s="1"/>
      <c r="AG200" s="1"/>
      <c r="AH200" s="1"/>
      <c r="AI200" s="1"/>
    </row>
    <row r="201" spans="3:35" x14ac:dyDescent="0.3">
      <c r="C201" s="7" t="s">
        <v>82</v>
      </c>
      <c r="D201" s="6" t="s">
        <v>3</v>
      </c>
      <c r="E201" s="6" t="s">
        <v>4</v>
      </c>
      <c r="F201" s="6" t="s">
        <v>5</v>
      </c>
      <c r="G201" s="6" t="s">
        <v>6</v>
      </c>
      <c r="H201" s="6" t="s">
        <v>7</v>
      </c>
      <c r="I201" s="6" t="s">
        <v>81</v>
      </c>
      <c r="J201" s="6" t="s">
        <v>80</v>
      </c>
      <c r="K201" s="6" t="s">
        <v>79</v>
      </c>
      <c r="L201" s="6" t="s">
        <v>78</v>
      </c>
      <c r="M201" s="6" t="s">
        <v>77</v>
      </c>
      <c r="N201" s="6" t="s">
        <v>76</v>
      </c>
      <c r="O201" s="5"/>
      <c r="X201" s="1"/>
      <c r="Y201" s="1"/>
      <c r="AG201" s="1"/>
      <c r="AH201" s="1"/>
      <c r="AI201" s="1"/>
    </row>
    <row r="202" spans="3:35" x14ac:dyDescent="0.3">
      <c r="C202" s="2" t="s">
        <v>75</v>
      </c>
      <c r="D202" t="s">
        <v>71</v>
      </c>
      <c r="E202" t="s">
        <v>73</v>
      </c>
      <c r="F202" t="s">
        <v>73</v>
      </c>
      <c r="G202" t="s">
        <v>73</v>
      </c>
      <c r="X202" s="1"/>
      <c r="Y202" s="1"/>
      <c r="AG202" s="1"/>
      <c r="AH202" s="1"/>
      <c r="AI202" s="1"/>
    </row>
    <row r="203" spans="3:35" x14ac:dyDescent="0.3">
      <c r="C203" s="2" t="s">
        <v>74</v>
      </c>
      <c r="D203" t="s">
        <v>73</v>
      </c>
      <c r="E203" t="s">
        <v>59</v>
      </c>
      <c r="F203" t="s">
        <v>59</v>
      </c>
      <c r="G203" t="s">
        <v>60</v>
      </c>
      <c r="X203" s="1"/>
      <c r="Y203" s="1"/>
      <c r="AG203" s="1"/>
      <c r="AH203" s="1"/>
      <c r="AI203" s="1"/>
    </row>
    <row r="204" spans="3:35" x14ac:dyDescent="0.3">
      <c r="C204" s="2" t="s">
        <v>72</v>
      </c>
      <c r="D204" t="s">
        <v>59</v>
      </c>
      <c r="E204" t="s">
        <v>71</v>
      </c>
      <c r="F204" t="s">
        <v>71</v>
      </c>
      <c r="G204" t="s">
        <v>71</v>
      </c>
      <c r="X204" s="1"/>
      <c r="Y204" s="1"/>
      <c r="AG204" s="1"/>
      <c r="AH204" s="1"/>
      <c r="AI204" s="1"/>
    </row>
    <row r="205" spans="3:35" x14ac:dyDescent="0.3">
      <c r="C205" s="2" t="s">
        <v>70</v>
      </c>
      <c r="D205" t="s">
        <v>60</v>
      </c>
      <c r="E205" t="s">
        <v>60</v>
      </c>
      <c r="F205" t="s">
        <v>67</v>
      </c>
      <c r="G205" t="s">
        <v>67</v>
      </c>
      <c r="X205" s="1"/>
      <c r="Y205" s="1"/>
      <c r="AG205" s="1"/>
      <c r="AH205" s="1"/>
      <c r="AI205" s="1"/>
    </row>
    <row r="206" spans="3:35" x14ac:dyDescent="0.3">
      <c r="C206" s="2" t="s">
        <v>69</v>
      </c>
      <c r="D206" t="s">
        <v>66</v>
      </c>
      <c r="E206" t="s">
        <v>67</v>
      </c>
      <c r="F206" t="s">
        <v>66</v>
      </c>
      <c r="G206" t="s">
        <v>66</v>
      </c>
      <c r="X206" s="1"/>
      <c r="Y206" s="1"/>
      <c r="AG206" s="1"/>
      <c r="AH206" s="1"/>
      <c r="AI206" s="1"/>
    </row>
    <row r="207" spans="3:35" x14ac:dyDescent="0.3">
      <c r="C207" s="2" t="s">
        <v>68</v>
      </c>
      <c r="D207" t="s">
        <v>67</v>
      </c>
      <c r="E207" t="s">
        <v>66</v>
      </c>
      <c r="F207" t="s">
        <v>61</v>
      </c>
      <c r="G207" t="s">
        <v>61</v>
      </c>
      <c r="X207" s="1"/>
      <c r="Y207" s="1"/>
      <c r="AG207" s="1"/>
      <c r="AH207" s="1"/>
      <c r="AI207" s="1"/>
    </row>
    <row r="208" spans="3:35" x14ac:dyDescent="0.3">
      <c r="C208" s="2" t="s">
        <v>65</v>
      </c>
      <c r="D208" t="s">
        <v>61</v>
      </c>
      <c r="E208" t="s">
        <v>57</v>
      </c>
      <c r="F208" t="s">
        <v>49</v>
      </c>
      <c r="G208" t="s">
        <v>50</v>
      </c>
      <c r="X208" s="1"/>
      <c r="Y208" s="1"/>
      <c r="AG208" s="1"/>
      <c r="AH208" s="1"/>
      <c r="AI208" s="1"/>
    </row>
    <row r="209" spans="3:35" x14ac:dyDescent="0.3">
      <c r="C209" s="2" t="s">
        <v>64</v>
      </c>
      <c r="D209" t="s">
        <v>63</v>
      </c>
      <c r="E209" t="s">
        <v>63</v>
      </c>
      <c r="F209" t="s">
        <v>63</v>
      </c>
      <c r="G209" t="s">
        <v>63</v>
      </c>
      <c r="X209" s="1"/>
      <c r="Y209" s="1"/>
      <c r="AG209" s="1"/>
      <c r="AH209" s="1"/>
      <c r="AI209" s="1"/>
    </row>
    <row r="210" spans="3:35" x14ac:dyDescent="0.3">
      <c r="C210" s="2" t="s">
        <v>62</v>
      </c>
      <c r="D210" t="s">
        <v>57</v>
      </c>
      <c r="E210" t="s">
        <v>61</v>
      </c>
      <c r="F210" t="s">
        <v>60</v>
      </c>
      <c r="G210" t="s">
        <v>59</v>
      </c>
      <c r="X210" s="1"/>
      <c r="Y210" s="1"/>
      <c r="AG210" s="1"/>
      <c r="AH210" s="1"/>
      <c r="AI210" s="1"/>
    </row>
    <row r="211" spans="3:35" x14ac:dyDescent="0.3">
      <c r="C211" s="2" t="s">
        <v>58</v>
      </c>
      <c r="D211" t="s">
        <v>50</v>
      </c>
      <c r="E211" t="s">
        <v>47</v>
      </c>
      <c r="F211" t="s">
        <v>57</v>
      </c>
      <c r="G211" t="s">
        <v>57</v>
      </c>
      <c r="X211" s="1"/>
      <c r="Y211" s="1"/>
      <c r="AG211" s="1"/>
      <c r="AH211" s="1"/>
      <c r="AI211" s="1"/>
    </row>
    <row r="212" spans="3:35" x14ac:dyDescent="0.3">
      <c r="C212" s="2" t="s">
        <v>56</v>
      </c>
      <c r="D212" t="s">
        <v>49</v>
      </c>
      <c r="E212" t="s">
        <v>49</v>
      </c>
      <c r="F212" t="s">
        <v>53</v>
      </c>
      <c r="G212" t="s">
        <v>53</v>
      </c>
      <c r="I212" s="4" t="s">
        <v>55</v>
      </c>
      <c r="X212" s="1"/>
      <c r="Y212" s="1"/>
      <c r="AG212" s="1"/>
      <c r="AH212" s="1"/>
      <c r="AI212" s="1"/>
    </row>
    <row r="213" spans="3:35" x14ac:dyDescent="0.3">
      <c r="C213" s="2" t="s">
        <v>54</v>
      </c>
      <c r="D213" t="s">
        <v>53</v>
      </c>
      <c r="E213" t="s">
        <v>53</v>
      </c>
      <c r="F213" t="s">
        <v>47</v>
      </c>
      <c r="G213" t="s">
        <v>35</v>
      </c>
      <c r="X213" s="1"/>
      <c r="Y213" s="1"/>
      <c r="AG213" s="1"/>
      <c r="AH213" s="1"/>
      <c r="AI213" s="1"/>
    </row>
    <row r="214" spans="3:35" x14ac:dyDescent="0.3">
      <c r="C214" s="2" t="s">
        <v>52</v>
      </c>
      <c r="D214" t="s">
        <v>35</v>
      </c>
      <c r="E214" t="s">
        <v>35</v>
      </c>
      <c r="F214" t="s">
        <v>45</v>
      </c>
      <c r="G214" t="s">
        <v>45</v>
      </c>
      <c r="X214" s="1"/>
      <c r="Y214" s="1"/>
      <c r="AG214" s="1"/>
      <c r="AH214" s="1"/>
      <c r="AI214" s="1"/>
    </row>
    <row r="215" spans="3:35" x14ac:dyDescent="0.3">
      <c r="C215" s="2" t="s">
        <v>51</v>
      </c>
      <c r="D215" t="s">
        <v>47</v>
      </c>
      <c r="E215" t="s">
        <v>50</v>
      </c>
      <c r="F215" t="s">
        <v>50</v>
      </c>
      <c r="G215" t="s">
        <v>49</v>
      </c>
      <c r="X215" s="1"/>
      <c r="Y215" s="1"/>
      <c r="AG215" s="1"/>
      <c r="AH215" s="1"/>
      <c r="AI215" s="1"/>
    </row>
    <row r="216" spans="3:35" x14ac:dyDescent="0.3">
      <c r="C216" s="2" t="s">
        <v>48</v>
      </c>
      <c r="D216" t="s">
        <v>45</v>
      </c>
      <c r="E216" t="s">
        <v>43</v>
      </c>
      <c r="F216" t="s">
        <v>43</v>
      </c>
      <c r="G216" t="s">
        <v>47</v>
      </c>
      <c r="X216" s="1"/>
      <c r="Y216" s="1"/>
      <c r="AG216" s="1"/>
      <c r="AH216" s="1"/>
      <c r="AI216" s="1"/>
    </row>
    <row r="217" spans="3:35" x14ac:dyDescent="0.3">
      <c r="C217" s="2" t="s">
        <v>46</v>
      </c>
      <c r="D217" t="s">
        <v>43</v>
      </c>
      <c r="E217" t="s">
        <v>45</v>
      </c>
      <c r="F217" t="s">
        <v>39</v>
      </c>
      <c r="G217" s="3" t="s">
        <v>26</v>
      </c>
      <c r="X217" s="1"/>
      <c r="Y217" s="1"/>
      <c r="AG217" s="1"/>
      <c r="AH217" s="1"/>
      <c r="AI217" s="1"/>
    </row>
    <row r="218" spans="3:35" x14ac:dyDescent="0.3">
      <c r="C218" s="2" t="s">
        <v>44</v>
      </c>
      <c r="D218" t="s">
        <v>39</v>
      </c>
      <c r="E218" t="s">
        <v>34</v>
      </c>
      <c r="F218" t="s">
        <v>40</v>
      </c>
      <c r="G218" t="s">
        <v>43</v>
      </c>
      <c r="X218" s="1"/>
      <c r="Y218" s="1"/>
      <c r="AG218" s="1"/>
      <c r="AH218" s="1"/>
      <c r="AI218" s="1"/>
    </row>
    <row r="219" spans="3:35" x14ac:dyDescent="0.3">
      <c r="C219" s="2" t="s">
        <v>42</v>
      </c>
      <c r="D219" t="s">
        <v>40</v>
      </c>
      <c r="E219" t="s">
        <v>39</v>
      </c>
      <c r="F219" t="s">
        <v>32</v>
      </c>
      <c r="G219" t="s">
        <v>40</v>
      </c>
      <c r="X219" s="1"/>
      <c r="Y219" s="1"/>
      <c r="AG219" s="1"/>
      <c r="AH219" s="1"/>
      <c r="AI219" s="1"/>
    </row>
    <row r="220" spans="3:35" x14ac:dyDescent="0.3">
      <c r="C220" s="2" t="s">
        <v>41</v>
      </c>
      <c r="D220" t="s">
        <v>34</v>
      </c>
      <c r="E220" t="s">
        <v>40</v>
      </c>
      <c r="F220" t="s">
        <v>34</v>
      </c>
      <c r="G220" t="s">
        <v>39</v>
      </c>
      <c r="X220" s="1"/>
      <c r="Y220" s="1"/>
      <c r="AG220" s="1"/>
      <c r="AH220" s="1"/>
      <c r="AI220" s="1"/>
    </row>
    <row r="221" spans="3:35" x14ac:dyDescent="0.3">
      <c r="C221" s="2" t="s">
        <v>38</v>
      </c>
      <c r="D221" t="s">
        <v>32</v>
      </c>
      <c r="E221" t="s">
        <v>36</v>
      </c>
      <c r="F221" t="s">
        <v>36</v>
      </c>
      <c r="G221" t="s">
        <v>36</v>
      </c>
      <c r="X221" s="1"/>
      <c r="Y221" s="1"/>
      <c r="AG221" s="1"/>
      <c r="AH221" s="1"/>
      <c r="AI221" s="1"/>
    </row>
    <row r="222" spans="3:35" x14ac:dyDescent="0.3">
      <c r="C222" s="2" t="s">
        <v>37</v>
      </c>
      <c r="D222" t="s">
        <v>36</v>
      </c>
      <c r="E222" t="s">
        <v>30</v>
      </c>
      <c r="F222" t="s">
        <v>35</v>
      </c>
      <c r="G222" t="s">
        <v>34</v>
      </c>
      <c r="X222" s="1"/>
      <c r="Y222" s="1"/>
      <c r="AG222" s="1"/>
      <c r="AH222" s="1"/>
      <c r="AI222" s="1"/>
    </row>
    <row r="223" spans="3:35" x14ac:dyDescent="0.3">
      <c r="C223" s="2" t="s">
        <v>33</v>
      </c>
      <c r="D223" t="s">
        <v>30</v>
      </c>
      <c r="E223" t="s">
        <v>32</v>
      </c>
      <c r="F223" t="s">
        <v>30</v>
      </c>
      <c r="G223" t="s">
        <v>32</v>
      </c>
      <c r="X223" s="1"/>
      <c r="Y223" s="1"/>
      <c r="AG223" s="1"/>
      <c r="AH223" s="1"/>
      <c r="AI223" s="1"/>
    </row>
    <row r="224" spans="3:35" x14ac:dyDescent="0.3">
      <c r="C224" s="2" t="s">
        <v>31</v>
      </c>
      <c r="D224" t="s">
        <v>22</v>
      </c>
      <c r="E224" t="s">
        <v>22</v>
      </c>
      <c r="F224" t="s">
        <v>22</v>
      </c>
      <c r="G224" t="s">
        <v>30</v>
      </c>
      <c r="X224" s="1"/>
      <c r="Y224" s="1"/>
      <c r="AG224" s="1"/>
      <c r="AH224" s="1"/>
      <c r="AI224" s="1"/>
    </row>
    <row r="225" spans="3:35" x14ac:dyDescent="0.3">
      <c r="C225" s="2" t="s">
        <v>29</v>
      </c>
      <c r="D225" t="s">
        <v>28</v>
      </c>
      <c r="E225" t="s">
        <v>28</v>
      </c>
      <c r="F225" t="s">
        <v>28</v>
      </c>
      <c r="G225" s="3" t="s">
        <v>26</v>
      </c>
      <c r="X225" s="1"/>
      <c r="Y225" s="1"/>
    </row>
    <row r="226" spans="3:35" x14ac:dyDescent="0.3">
      <c r="C226" s="2" t="s">
        <v>27</v>
      </c>
      <c r="D226" t="s">
        <v>23</v>
      </c>
      <c r="E226" t="s">
        <v>24</v>
      </c>
      <c r="F226" t="s">
        <v>24</v>
      </c>
      <c r="G226" s="3" t="s">
        <v>26</v>
      </c>
      <c r="X226" s="1"/>
      <c r="Y226" s="1"/>
    </row>
    <row r="227" spans="3:35" x14ac:dyDescent="0.3">
      <c r="C227" s="2" t="s">
        <v>25</v>
      </c>
      <c r="D227" t="s">
        <v>24</v>
      </c>
      <c r="E227" t="s">
        <v>23</v>
      </c>
      <c r="F227" t="s">
        <v>23</v>
      </c>
      <c r="G227" t="s">
        <v>22</v>
      </c>
      <c r="X227" s="1"/>
      <c r="Y227" s="1"/>
    </row>
    <row r="228" spans="3:35" x14ac:dyDescent="0.3">
      <c r="X228" s="1"/>
      <c r="Y228" s="1"/>
    </row>
    <row r="229" spans="3:35" x14ac:dyDescent="0.3">
      <c r="X229" s="1"/>
      <c r="Y229" s="1"/>
    </row>
    <row r="230" spans="3:35" x14ac:dyDescent="0.3">
      <c r="X230" s="1"/>
      <c r="Y230" s="1"/>
    </row>
    <row r="231" spans="3:35" x14ac:dyDescent="0.3">
      <c r="X231" s="1"/>
      <c r="Y231" s="1"/>
    </row>
    <row r="232" spans="3:35" x14ac:dyDescent="0.3">
      <c r="X232" s="1"/>
      <c r="Y232" s="1"/>
    </row>
    <row r="233" spans="3:35" x14ac:dyDescent="0.3">
      <c r="X233" s="1"/>
      <c r="Y233" s="1"/>
    </row>
    <row r="234" spans="3:35" x14ac:dyDescent="0.3">
      <c r="X234" s="1"/>
      <c r="Y234" s="1"/>
    </row>
    <row r="235" spans="3:35" x14ac:dyDescent="0.3">
      <c r="X235" s="1"/>
      <c r="Y235" s="1"/>
    </row>
    <row r="236" spans="3:35" x14ac:dyDescent="0.3">
      <c r="X236" s="1"/>
      <c r="Y236" s="1"/>
    </row>
    <row r="237" spans="3:35" x14ac:dyDescent="0.3">
      <c r="X237" s="1"/>
      <c r="Y237" s="1"/>
    </row>
    <row r="238" spans="3:35" x14ac:dyDescent="0.3">
      <c r="Q238" t="s">
        <v>2</v>
      </c>
      <c r="R238" t="s">
        <v>21</v>
      </c>
      <c r="S238" t="s">
        <v>7</v>
      </c>
      <c r="T238" s="1">
        <v>4011</v>
      </c>
      <c r="X238" s="1"/>
      <c r="Y238" s="1"/>
    </row>
    <row r="239" spans="3:35" x14ac:dyDescent="0.3">
      <c r="Q239" t="s">
        <v>2</v>
      </c>
      <c r="R239" t="s">
        <v>21</v>
      </c>
      <c r="S239" t="s">
        <v>6</v>
      </c>
      <c r="T239" s="1">
        <v>5800</v>
      </c>
      <c r="X239" s="1"/>
      <c r="Y239" s="1"/>
      <c r="AG239" s="1"/>
      <c r="AH239" s="1"/>
      <c r="AI239" s="1"/>
    </row>
    <row r="240" spans="3:35" x14ac:dyDescent="0.3">
      <c r="Q240" t="s">
        <v>2</v>
      </c>
      <c r="R240" t="s">
        <v>21</v>
      </c>
      <c r="S240" t="s">
        <v>5</v>
      </c>
      <c r="T240" s="1">
        <v>3500</v>
      </c>
      <c r="X240" s="1"/>
      <c r="Y240" s="1"/>
      <c r="AG240" s="1"/>
      <c r="AH240" s="1"/>
      <c r="AI240" s="1"/>
    </row>
    <row r="241" spans="17:35" x14ac:dyDescent="0.3">
      <c r="Q241" t="s">
        <v>2</v>
      </c>
      <c r="R241" t="s">
        <v>21</v>
      </c>
      <c r="S241" t="s">
        <v>4</v>
      </c>
      <c r="T241" s="1">
        <v>5650</v>
      </c>
      <c r="X241" s="1"/>
      <c r="Y241" s="1"/>
      <c r="AG241" s="1"/>
      <c r="AH241" s="1"/>
      <c r="AI241" s="1"/>
    </row>
    <row r="242" spans="17:35" x14ac:dyDescent="0.3">
      <c r="Q242" t="s">
        <v>2</v>
      </c>
      <c r="R242" t="s">
        <v>21</v>
      </c>
      <c r="S242" t="s">
        <v>3</v>
      </c>
      <c r="T242" s="1">
        <v>3316</v>
      </c>
      <c r="X242" s="1"/>
      <c r="Y242" s="1"/>
      <c r="AG242" s="1"/>
      <c r="AH242" s="1"/>
      <c r="AI242" s="1"/>
    </row>
    <row r="243" spans="17:35" x14ac:dyDescent="0.3">
      <c r="Q243" t="s">
        <v>2</v>
      </c>
      <c r="R243" t="s">
        <v>21</v>
      </c>
      <c r="S243" t="s">
        <v>0</v>
      </c>
      <c r="T243" s="1">
        <v>2506</v>
      </c>
      <c r="X243" s="1"/>
      <c r="Y243" s="1"/>
      <c r="AG243" s="1"/>
      <c r="AH243" s="1"/>
      <c r="AI243" s="1"/>
    </row>
    <row r="244" spans="17:35" x14ac:dyDescent="0.3">
      <c r="Q244" t="s">
        <v>2</v>
      </c>
      <c r="R244" t="s">
        <v>19</v>
      </c>
      <c r="S244" t="s">
        <v>20</v>
      </c>
      <c r="T244" s="1">
        <v>12700</v>
      </c>
      <c r="X244" s="1"/>
      <c r="Y244" s="1"/>
      <c r="AG244" s="1"/>
      <c r="AH244" s="1"/>
      <c r="AI244" s="1"/>
    </row>
    <row r="245" spans="17:35" x14ac:dyDescent="0.3">
      <c r="Q245" t="s">
        <v>2</v>
      </c>
      <c r="R245" t="s">
        <v>19</v>
      </c>
      <c r="S245" t="s">
        <v>18</v>
      </c>
      <c r="T245" s="1">
        <v>113080</v>
      </c>
      <c r="X245" s="1"/>
      <c r="Y245" s="1"/>
      <c r="AG245" s="1"/>
      <c r="AH245" s="1"/>
      <c r="AI245" s="1"/>
    </row>
    <row r="246" spans="17:35" x14ac:dyDescent="0.3">
      <c r="Q246" t="s">
        <v>2</v>
      </c>
      <c r="R246" t="s">
        <v>19</v>
      </c>
      <c r="S246" t="s">
        <v>17</v>
      </c>
      <c r="T246" s="1">
        <v>439420</v>
      </c>
      <c r="X246" s="1"/>
      <c r="Y246" s="1"/>
      <c r="AG246" s="1"/>
      <c r="AH246" s="1"/>
      <c r="AI246" s="1"/>
    </row>
    <row r="247" spans="17:35" x14ac:dyDescent="0.3">
      <c r="Q247" t="s">
        <v>2</v>
      </c>
      <c r="R247" t="s">
        <v>19</v>
      </c>
      <c r="S247" t="s">
        <v>14</v>
      </c>
      <c r="T247" s="1">
        <v>545022</v>
      </c>
      <c r="X247" s="1"/>
      <c r="Y247" s="1"/>
      <c r="AG247" s="1"/>
      <c r="AH247" s="1"/>
      <c r="AI247" s="1"/>
    </row>
    <row r="248" spans="17:35" x14ac:dyDescent="0.3">
      <c r="Q248" t="s">
        <v>2</v>
      </c>
      <c r="R248" t="s">
        <v>19</v>
      </c>
      <c r="S248" t="s">
        <v>12</v>
      </c>
      <c r="T248" s="1">
        <v>1115157</v>
      </c>
      <c r="X248" s="1"/>
      <c r="Y248" s="1"/>
      <c r="AG248" s="1"/>
      <c r="AH248" s="1"/>
      <c r="AI248" s="1"/>
    </row>
    <row r="249" spans="17:35" x14ac:dyDescent="0.3">
      <c r="Q249" t="s">
        <v>2</v>
      </c>
      <c r="R249" t="s">
        <v>19</v>
      </c>
      <c r="S249" t="s">
        <v>9</v>
      </c>
      <c r="T249" s="1">
        <v>709340</v>
      </c>
      <c r="X249" s="1"/>
      <c r="Y249" s="1"/>
      <c r="AG249" s="1"/>
      <c r="AH249" s="1"/>
      <c r="AI249" s="1"/>
    </row>
    <row r="250" spans="17:35" x14ac:dyDescent="0.3">
      <c r="Q250" t="s">
        <v>2</v>
      </c>
      <c r="R250" t="s">
        <v>19</v>
      </c>
      <c r="S250" t="s">
        <v>8</v>
      </c>
      <c r="T250" s="1">
        <v>1380730</v>
      </c>
      <c r="X250" s="1"/>
      <c r="Y250" s="1"/>
      <c r="AG250" s="1"/>
      <c r="AH250" s="1"/>
      <c r="AI250" s="1"/>
    </row>
    <row r="251" spans="17:35" x14ac:dyDescent="0.3">
      <c r="Q251" t="s">
        <v>2</v>
      </c>
      <c r="R251" t="s">
        <v>19</v>
      </c>
      <c r="S251" t="s">
        <v>7</v>
      </c>
      <c r="T251" s="1">
        <v>468401</v>
      </c>
      <c r="X251" s="1"/>
      <c r="Y251" s="1"/>
      <c r="AG251" s="1"/>
      <c r="AH251" s="1"/>
      <c r="AI251" s="1"/>
    </row>
    <row r="252" spans="17:35" x14ac:dyDescent="0.3">
      <c r="Q252" t="s">
        <v>2</v>
      </c>
      <c r="R252" t="s">
        <v>19</v>
      </c>
      <c r="S252" t="s">
        <v>6</v>
      </c>
      <c r="T252" s="1">
        <v>694135</v>
      </c>
      <c r="X252" s="1"/>
      <c r="Y252" s="1"/>
      <c r="AG252" s="1"/>
      <c r="AH252" s="1"/>
      <c r="AI252" s="1"/>
    </row>
    <row r="253" spans="17:35" x14ac:dyDescent="0.3">
      <c r="Q253" t="s">
        <v>2</v>
      </c>
      <c r="R253" t="s">
        <v>19</v>
      </c>
      <c r="S253" t="s">
        <v>5</v>
      </c>
      <c r="T253" s="1">
        <v>253363</v>
      </c>
      <c r="X253" s="1"/>
      <c r="Y253" s="1"/>
      <c r="AG253" s="1"/>
      <c r="AH253" s="1"/>
      <c r="AI253" s="1"/>
    </row>
    <row r="254" spans="17:35" x14ac:dyDescent="0.3">
      <c r="Q254" t="s">
        <v>2</v>
      </c>
      <c r="R254" t="s">
        <v>19</v>
      </c>
      <c r="S254" t="s">
        <v>4</v>
      </c>
      <c r="T254" s="1">
        <v>474562</v>
      </c>
      <c r="X254" s="1"/>
      <c r="Y254" s="1"/>
      <c r="AG254" s="1"/>
      <c r="AH254" s="1"/>
      <c r="AI254" s="1"/>
    </row>
    <row r="255" spans="17:35" x14ac:dyDescent="0.3">
      <c r="Q255" t="s">
        <v>2</v>
      </c>
      <c r="R255" t="s">
        <v>19</v>
      </c>
      <c r="S255" t="s">
        <v>3</v>
      </c>
      <c r="T255" s="1">
        <v>433058</v>
      </c>
      <c r="X255" s="1"/>
      <c r="Y255" s="1"/>
      <c r="AG255" s="1"/>
      <c r="AH255" s="1"/>
      <c r="AI255" s="1"/>
    </row>
    <row r="256" spans="17:35" x14ac:dyDescent="0.3">
      <c r="Q256" t="s">
        <v>2</v>
      </c>
      <c r="R256" t="s">
        <v>19</v>
      </c>
      <c r="S256" t="s">
        <v>0</v>
      </c>
      <c r="T256" s="1">
        <v>805857</v>
      </c>
      <c r="X256" s="1"/>
      <c r="Y256" s="1"/>
      <c r="AG256" s="1"/>
      <c r="AH256" s="1"/>
      <c r="AI256" s="1"/>
    </row>
    <row r="257" spans="17:35" x14ac:dyDescent="0.3">
      <c r="Q257" t="s">
        <v>2</v>
      </c>
      <c r="R257" t="s">
        <v>16</v>
      </c>
      <c r="S257" t="s">
        <v>18</v>
      </c>
      <c r="T257" s="1">
        <v>720</v>
      </c>
      <c r="AG257" s="1"/>
      <c r="AH257" s="1"/>
      <c r="AI257" s="1"/>
    </row>
    <row r="258" spans="17:35" x14ac:dyDescent="0.3">
      <c r="Q258" t="s">
        <v>2</v>
      </c>
      <c r="R258" t="s">
        <v>16</v>
      </c>
      <c r="S258" t="s">
        <v>17</v>
      </c>
      <c r="T258" s="1">
        <v>400</v>
      </c>
      <c r="AG258" s="1"/>
      <c r="AH258" s="1"/>
      <c r="AI258" s="1"/>
    </row>
    <row r="259" spans="17:35" x14ac:dyDescent="0.3">
      <c r="Q259" t="s">
        <v>2</v>
      </c>
      <c r="R259" t="s">
        <v>16</v>
      </c>
      <c r="S259" t="s">
        <v>12</v>
      </c>
      <c r="T259" s="1">
        <v>0</v>
      </c>
      <c r="AG259" s="1"/>
      <c r="AH259" s="1"/>
      <c r="AI259" s="1"/>
    </row>
    <row r="260" spans="17:35" x14ac:dyDescent="0.3">
      <c r="Q260" t="s">
        <v>2</v>
      </c>
      <c r="R260" t="s">
        <v>16</v>
      </c>
      <c r="S260" t="s">
        <v>9</v>
      </c>
      <c r="T260" s="1">
        <v>200</v>
      </c>
      <c r="AG260" s="1"/>
      <c r="AH260" s="1"/>
      <c r="AI260" s="1"/>
    </row>
    <row r="261" spans="17:35" x14ac:dyDescent="0.3">
      <c r="Q261" t="s">
        <v>2</v>
      </c>
      <c r="R261" t="s">
        <v>16</v>
      </c>
      <c r="S261" t="s">
        <v>8</v>
      </c>
      <c r="T261" s="1">
        <v>1435</v>
      </c>
      <c r="AG261" s="1"/>
      <c r="AH261" s="1"/>
      <c r="AI261" s="1"/>
    </row>
    <row r="262" spans="17:35" x14ac:dyDescent="0.3">
      <c r="Q262" t="s">
        <v>2</v>
      </c>
      <c r="R262" t="s">
        <v>16</v>
      </c>
      <c r="S262" t="s">
        <v>7</v>
      </c>
      <c r="T262" s="1">
        <v>485</v>
      </c>
      <c r="AG262" s="1"/>
      <c r="AH262" s="1"/>
      <c r="AI262" s="1"/>
    </row>
    <row r="263" spans="17:35" x14ac:dyDescent="0.3">
      <c r="Q263" t="s">
        <v>2</v>
      </c>
      <c r="R263" t="s">
        <v>16</v>
      </c>
      <c r="S263" t="s">
        <v>6</v>
      </c>
      <c r="T263" s="1">
        <v>2710</v>
      </c>
    </row>
    <row r="264" spans="17:35" x14ac:dyDescent="0.3">
      <c r="Q264" t="s">
        <v>2</v>
      </c>
      <c r="R264" t="s">
        <v>16</v>
      </c>
      <c r="S264" t="s">
        <v>5</v>
      </c>
      <c r="T264" s="1">
        <v>850</v>
      </c>
    </row>
    <row r="265" spans="17:35" x14ac:dyDescent="0.3">
      <c r="Q265" t="s">
        <v>2</v>
      </c>
      <c r="R265" t="s">
        <v>16</v>
      </c>
      <c r="S265" t="s">
        <v>4</v>
      </c>
      <c r="T265" s="1">
        <v>3320</v>
      </c>
    </row>
    <row r="266" spans="17:35" x14ac:dyDescent="0.3">
      <c r="Q266" t="s">
        <v>2</v>
      </c>
      <c r="R266" t="s">
        <v>16</v>
      </c>
      <c r="S266" t="s">
        <v>3</v>
      </c>
      <c r="T266" s="1">
        <v>1305</v>
      </c>
    </row>
    <row r="267" spans="17:35" x14ac:dyDescent="0.3">
      <c r="Q267" t="s">
        <v>2</v>
      </c>
      <c r="R267" t="s">
        <v>16</v>
      </c>
      <c r="S267" t="s">
        <v>0</v>
      </c>
      <c r="T267" s="1">
        <v>8994</v>
      </c>
    </row>
    <row r="268" spans="17:35" x14ac:dyDescent="0.3">
      <c r="Q268" t="s">
        <v>2</v>
      </c>
      <c r="R268" t="s">
        <v>15</v>
      </c>
      <c r="S268" t="s">
        <v>9</v>
      </c>
      <c r="T268" s="1">
        <v>2450</v>
      </c>
    </row>
    <row r="269" spans="17:35" x14ac:dyDescent="0.3">
      <c r="Q269" t="s">
        <v>2</v>
      </c>
      <c r="R269" t="s">
        <v>15</v>
      </c>
      <c r="S269" t="s">
        <v>3</v>
      </c>
      <c r="T269" s="1">
        <v>1195</v>
      </c>
    </row>
    <row r="270" spans="17:35" x14ac:dyDescent="0.3">
      <c r="Q270" t="s">
        <v>2</v>
      </c>
      <c r="R270" t="s">
        <v>15</v>
      </c>
      <c r="S270" t="s">
        <v>0</v>
      </c>
      <c r="T270" s="1">
        <v>11046</v>
      </c>
    </row>
    <row r="271" spans="17:35" x14ac:dyDescent="0.3">
      <c r="Q271" t="s">
        <v>2</v>
      </c>
      <c r="R271" t="s">
        <v>13</v>
      </c>
      <c r="S271" t="s">
        <v>14</v>
      </c>
      <c r="T271" s="1">
        <v>0</v>
      </c>
    </row>
    <row r="272" spans="17:35" x14ac:dyDescent="0.3">
      <c r="Q272" t="s">
        <v>2</v>
      </c>
      <c r="R272" t="s">
        <v>13</v>
      </c>
      <c r="S272" t="s">
        <v>12</v>
      </c>
      <c r="T272" s="1">
        <v>10569</v>
      </c>
    </row>
    <row r="273" spans="17:35" x14ac:dyDescent="0.3">
      <c r="Q273" t="s">
        <v>2</v>
      </c>
      <c r="R273" t="s">
        <v>13</v>
      </c>
      <c r="S273" t="s">
        <v>9</v>
      </c>
      <c r="T273" s="1">
        <v>15300</v>
      </c>
    </row>
    <row r="274" spans="17:35" x14ac:dyDescent="0.3">
      <c r="Q274" t="s">
        <v>2</v>
      </c>
      <c r="R274" t="s">
        <v>13</v>
      </c>
      <c r="S274" t="s">
        <v>8</v>
      </c>
      <c r="T274" s="1">
        <v>23890</v>
      </c>
    </row>
    <row r="275" spans="17:35" x14ac:dyDescent="0.3">
      <c r="Q275" t="s">
        <v>2</v>
      </c>
      <c r="R275" t="s">
        <v>13</v>
      </c>
      <c r="S275" t="s">
        <v>7</v>
      </c>
      <c r="T275" s="1">
        <v>20035</v>
      </c>
    </row>
    <row r="276" spans="17:35" x14ac:dyDescent="0.3">
      <c r="Q276" t="s">
        <v>2</v>
      </c>
      <c r="R276" t="s">
        <v>13</v>
      </c>
      <c r="S276" t="s">
        <v>6</v>
      </c>
      <c r="T276" s="1">
        <v>32284</v>
      </c>
    </row>
    <row r="277" spans="17:35" x14ac:dyDescent="0.3">
      <c r="Q277" t="s">
        <v>2</v>
      </c>
      <c r="R277" t="s">
        <v>13</v>
      </c>
      <c r="S277" t="s">
        <v>5</v>
      </c>
      <c r="T277" s="1">
        <v>19586</v>
      </c>
    </row>
    <row r="278" spans="17:35" x14ac:dyDescent="0.3">
      <c r="Q278" t="s">
        <v>2</v>
      </c>
      <c r="R278" t="s">
        <v>13</v>
      </c>
      <c r="S278" t="s">
        <v>4</v>
      </c>
      <c r="T278" s="1">
        <v>27448</v>
      </c>
      <c r="AG278" s="1"/>
      <c r="AH278" s="1"/>
      <c r="AI278" s="1"/>
    </row>
    <row r="279" spans="17:35" x14ac:dyDescent="0.3">
      <c r="Q279" t="s">
        <v>2</v>
      </c>
      <c r="R279" t="s">
        <v>13</v>
      </c>
      <c r="S279" t="s">
        <v>3</v>
      </c>
      <c r="T279" s="1">
        <v>15334</v>
      </c>
      <c r="AG279" s="1"/>
      <c r="AH279" s="1"/>
      <c r="AI279" s="1"/>
    </row>
    <row r="280" spans="17:35" x14ac:dyDescent="0.3">
      <c r="Q280" t="s">
        <v>2</v>
      </c>
      <c r="R280" t="s">
        <v>13</v>
      </c>
      <c r="S280" t="s">
        <v>0</v>
      </c>
      <c r="T280" s="1">
        <v>7924</v>
      </c>
    </row>
    <row r="281" spans="17:35" x14ac:dyDescent="0.3">
      <c r="Q281" t="s">
        <v>2</v>
      </c>
      <c r="R281" t="s">
        <v>11</v>
      </c>
      <c r="S281" t="s">
        <v>12</v>
      </c>
      <c r="T281" s="1">
        <v>0</v>
      </c>
    </row>
    <row r="282" spans="17:35" x14ac:dyDescent="0.3">
      <c r="Q282" t="s">
        <v>2</v>
      </c>
      <c r="R282" t="s">
        <v>11</v>
      </c>
      <c r="S282" t="s">
        <v>9</v>
      </c>
      <c r="T282" s="1">
        <v>0</v>
      </c>
    </row>
    <row r="283" spans="17:35" x14ac:dyDescent="0.3">
      <c r="Q283" t="s">
        <v>2</v>
      </c>
      <c r="R283" t="s">
        <v>11</v>
      </c>
      <c r="S283" t="s">
        <v>8</v>
      </c>
      <c r="T283" s="1">
        <v>0</v>
      </c>
    </row>
    <row r="284" spans="17:35" x14ac:dyDescent="0.3">
      <c r="Q284" t="s">
        <v>2</v>
      </c>
      <c r="R284" t="s">
        <v>11</v>
      </c>
      <c r="S284" t="s">
        <v>7</v>
      </c>
      <c r="T284" s="1">
        <v>8505</v>
      </c>
    </row>
    <row r="285" spans="17:35" x14ac:dyDescent="0.3">
      <c r="Q285" t="s">
        <v>2</v>
      </c>
      <c r="R285" t="s">
        <v>11</v>
      </c>
      <c r="S285" t="s">
        <v>6</v>
      </c>
      <c r="T285" s="1">
        <v>9270</v>
      </c>
    </row>
    <row r="286" spans="17:35" x14ac:dyDescent="0.3">
      <c r="Q286" t="s">
        <v>2</v>
      </c>
      <c r="R286" t="s">
        <v>11</v>
      </c>
      <c r="S286" t="s">
        <v>5</v>
      </c>
      <c r="T286" s="1">
        <v>3740</v>
      </c>
    </row>
    <row r="287" spans="17:35" x14ac:dyDescent="0.3">
      <c r="Q287" t="s">
        <v>2</v>
      </c>
      <c r="R287" t="s">
        <v>11</v>
      </c>
      <c r="S287" t="s">
        <v>4</v>
      </c>
      <c r="T287" s="1">
        <v>6830</v>
      </c>
    </row>
    <row r="288" spans="17:35" x14ac:dyDescent="0.3">
      <c r="Q288" t="s">
        <v>2</v>
      </c>
      <c r="R288" t="s">
        <v>11</v>
      </c>
      <c r="S288" t="s">
        <v>3</v>
      </c>
      <c r="T288" s="1">
        <v>4079</v>
      </c>
    </row>
    <row r="289" spans="17:20" x14ac:dyDescent="0.3">
      <c r="Q289" t="s">
        <v>2</v>
      </c>
      <c r="R289" t="s">
        <v>11</v>
      </c>
      <c r="S289" t="s">
        <v>0</v>
      </c>
      <c r="T289" s="1">
        <v>25402</v>
      </c>
    </row>
    <row r="290" spans="17:20" x14ac:dyDescent="0.3">
      <c r="Q290" t="s">
        <v>2</v>
      </c>
      <c r="R290" t="s">
        <v>10</v>
      </c>
      <c r="S290" t="s">
        <v>4</v>
      </c>
      <c r="T290" s="1">
        <v>1050</v>
      </c>
    </row>
    <row r="291" spans="17:20" x14ac:dyDescent="0.3">
      <c r="Q291" t="s">
        <v>2</v>
      </c>
      <c r="R291" t="s">
        <v>10</v>
      </c>
      <c r="S291" t="s">
        <v>3</v>
      </c>
      <c r="T291" s="1">
        <v>1199</v>
      </c>
    </row>
    <row r="292" spans="17:20" x14ac:dyDescent="0.3">
      <c r="Q292" t="s">
        <v>2</v>
      </c>
      <c r="R292" t="s">
        <v>10</v>
      </c>
      <c r="S292" t="s">
        <v>0</v>
      </c>
      <c r="T292" s="1">
        <v>1324</v>
      </c>
    </row>
    <row r="293" spans="17:20" x14ac:dyDescent="0.3">
      <c r="Q293" t="s">
        <v>2</v>
      </c>
      <c r="R293" t="s">
        <v>1</v>
      </c>
      <c r="S293" t="s">
        <v>9</v>
      </c>
      <c r="T293" s="1">
        <v>10500</v>
      </c>
    </row>
    <row r="294" spans="17:20" x14ac:dyDescent="0.3">
      <c r="Q294" t="s">
        <v>2</v>
      </c>
      <c r="R294" t="s">
        <v>1</v>
      </c>
      <c r="S294" t="s">
        <v>8</v>
      </c>
      <c r="T294" s="1">
        <v>39688</v>
      </c>
    </row>
    <row r="295" spans="17:20" x14ac:dyDescent="0.3">
      <c r="Q295" t="s">
        <v>2</v>
      </c>
      <c r="R295" t="s">
        <v>1</v>
      </c>
      <c r="S295" t="s">
        <v>7</v>
      </c>
      <c r="T295" s="1">
        <v>12615</v>
      </c>
    </row>
    <row r="296" spans="17:20" x14ac:dyDescent="0.3">
      <c r="Q296" t="s">
        <v>2</v>
      </c>
      <c r="R296" t="s">
        <v>1</v>
      </c>
      <c r="S296" t="s">
        <v>6</v>
      </c>
      <c r="T296" s="1">
        <v>24766</v>
      </c>
    </row>
    <row r="297" spans="17:20" x14ac:dyDescent="0.3">
      <c r="Q297" t="s">
        <v>2</v>
      </c>
      <c r="R297" t="s">
        <v>1</v>
      </c>
      <c r="S297" t="s">
        <v>5</v>
      </c>
      <c r="T297" s="1">
        <v>15760</v>
      </c>
    </row>
    <row r="298" spans="17:20" x14ac:dyDescent="0.3">
      <c r="Q298" t="s">
        <v>2</v>
      </c>
      <c r="R298" t="s">
        <v>1</v>
      </c>
      <c r="S298" t="s">
        <v>4</v>
      </c>
      <c r="T298" s="1">
        <v>34720</v>
      </c>
    </row>
    <row r="299" spans="17:20" x14ac:dyDescent="0.3">
      <c r="Q299" t="s">
        <v>2</v>
      </c>
      <c r="R299" t="s">
        <v>1</v>
      </c>
      <c r="S299" t="s">
        <v>3</v>
      </c>
      <c r="T299" s="1">
        <v>19326</v>
      </c>
    </row>
    <row r="300" spans="17:20" x14ac:dyDescent="0.3">
      <c r="Q300" t="s">
        <v>2</v>
      </c>
      <c r="R300" t="s">
        <v>1</v>
      </c>
      <c r="S300" t="s">
        <v>0</v>
      </c>
      <c r="T300" s="1">
        <v>26146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33"/>
  <sheetViews>
    <sheetView workbookViewId="0">
      <pane ySplit="1" topLeftCell="A2" activePane="bottomLeft" state="frozen"/>
      <selection pane="bottomLeft" activeCell="G26" sqref="G26"/>
    </sheetView>
  </sheetViews>
  <sheetFormatPr baseColWidth="10" defaultRowHeight="14.4" x14ac:dyDescent="0.3"/>
  <cols>
    <col min="1" max="1" width="11.88671875" bestFit="1" customWidth="1"/>
    <col min="2" max="2" width="10.88671875" bestFit="1" customWidth="1"/>
    <col min="3" max="3" width="20" bestFit="1" customWidth="1"/>
    <col min="4" max="4" width="15.109375" bestFit="1" customWidth="1"/>
    <col min="5" max="5" width="12.109375" bestFit="1" customWidth="1"/>
    <col min="6" max="6" width="16.5546875" bestFit="1" customWidth="1"/>
    <col min="7" max="7" width="19.109375" style="1" bestFit="1" customWidth="1"/>
    <col min="8" max="8" width="19.88671875" style="1" bestFit="1" customWidth="1"/>
    <col min="9" max="9" width="15.88671875" style="1" bestFit="1" customWidth="1"/>
    <col min="10" max="10" width="20.109375" style="1" bestFit="1" customWidth="1"/>
  </cols>
  <sheetData>
    <row r="1" spans="1:10" s="11" customFormat="1" x14ac:dyDescent="0.3">
      <c r="A1" s="11" t="s">
        <v>206</v>
      </c>
      <c r="B1" s="11" t="s">
        <v>128</v>
      </c>
      <c r="C1" s="11" t="s">
        <v>205</v>
      </c>
      <c r="D1" s="11" t="s">
        <v>82</v>
      </c>
      <c r="E1" s="11" t="s">
        <v>204</v>
      </c>
      <c r="F1" s="11" t="s">
        <v>203</v>
      </c>
      <c r="G1" s="9" t="s">
        <v>135</v>
      </c>
      <c r="H1" s="9" t="s">
        <v>134</v>
      </c>
      <c r="I1" s="9" t="s">
        <v>130</v>
      </c>
      <c r="J1" s="9" t="s">
        <v>129</v>
      </c>
    </row>
    <row r="2" spans="1:10" x14ac:dyDescent="0.3">
      <c r="A2" t="s">
        <v>121</v>
      </c>
      <c r="B2" t="s">
        <v>18</v>
      </c>
      <c r="C2" t="s">
        <v>193</v>
      </c>
      <c r="D2" t="s">
        <v>64</v>
      </c>
      <c r="E2">
        <v>86</v>
      </c>
      <c r="F2">
        <v>7</v>
      </c>
      <c r="G2" s="1">
        <v>3000</v>
      </c>
      <c r="H2" s="1">
        <v>2000</v>
      </c>
      <c r="I2" s="1">
        <v>4400</v>
      </c>
      <c r="J2" s="1">
        <v>2200</v>
      </c>
    </row>
    <row r="3" spans="1:10" x14ac:dyDescent="0.3">
      <c r="A3" t="s">
        <v>121</v>
      </c>
      <c r="B3" t="s">
        <v>17</v>
      </c>
      <c r="C3" t="s">
        <v>193</v>
      </c>
      <c r="D3" t="s">
        <v>64</v>
      </c>
      <c r="E3">
        <v>86</v>
      </c>
      <c r="F3">
        <v>7</v>
      </c>
      <c r="G3" s="1">
        <v>3000</v>
      </c>
      <c r="H3" s="1">
        <v>2500</v>
      </c>
      <c r="I3" s="1">
        <v>4000</v>
      </c>
      <c r="J3" s="1">
        <v>1600</v>
      </c>
    </row>
    <row r="4" spans="1:10" x14ac:dyDescent="0.3">
      <c r="A4" t="s">
        <v>121</v>
      </c>
      <c r="B4" t="s">
        <v>14</v>
      </c>
      <c r="C4" t="s">
        <v>193</v>
      </c>
      <c r="D4" t="s">
        <v>64</v>
      </c>
      <c r="E4">
        <v>86</v>
      </c>
      <c r="F4">
        <v>7</v>
      </c>
      <c r="G4" s="1">
        <v>12000</v>
      </c>
      <c r="H4" s="1">
        <v>12000</v>
      </c>
      <c r="I4" s="1">
        <v>31200</v>
      </c>
      <c r="J4" s="1">
        <v>2600</v>
      </c>
    </row>
    <row r="5" spans="1:10" x14ac:dyDescent="0.3">
      <c r="A5" t="s">
        <v>121</v>
      </c>
      <c r="B5" t="s">
        <v>12</v>
      </c>
      <c r="C5" t="s">
        <v>193</v>
      </c>
      <c r="D5" t="s">
        <v>64</v>
      </c>
      <c r="E5">
        <v>86</v>
      </c>
      <c r="F5">
        <v>7</v>
      </c>
      <c r="G5" s="1">
        <v>12000</v>
      </c>
      <c r="H5" s="1">
        <v>11420</v>
      </c>
      <c r="I5" s="1">
        <v>17130</v>
      </c>
      <c r="J5" s="1">
        <v>1500</v>
      </c>
    </row>
    <row r="6" spans="1:10" x14ac:dyDescent="0.3">
      <c r="A6" t="s">
        <v>121</v>
      </c>
      <c r="B6" t="s">
        <v>9</v>
      </c>
      <c r="C6" t="s">
        <v>193</v>
      </c>
      <c r="D6" t="s">
        <v>64</v>
      </c>
      <c r="E6">
        <v>86</v>
      </c>
      <c r="F6">
        <v>7</v>
      </c>
      <c r="G6" s="1">
        <v>14330</v>
      </c>
      <c r="H6" s="1">
        <v>13770</v>
      </c>
      <c r="I6" s="1">
        <v>46818</v>
      </c>
      <c r="J6" s="1">
        <v>3400</v>
      </c>
    </row>
    <row r="7" spans="1:10" x14ac:dyDescent="0.3">
      <c r="A7" t="s">
        <v>121</v>
      </c>
      <c r="B7" t="s">
        <v>8</v>
      </c>
      <c r="C7" t="s">
        <v>193</v>
      </c>
      <c r="D7" t="s">
        <v>64</v>
      </c>
      <c r="E7">
        <v>86</v>
      </c>
      <c r="F7">
        <v>7</v>
      </c>
      <c r="G7" s="1">
        <v>14500</v>
      </c>
      <c r="H7" s="1">
        <v>13230</v>
      </c>
      <c r="I7" s="1">
        <v>35721</v>
      </c>
      <c r="J7" s="1">
        <v>2700</v>
      </c>
    </row>
    <row r="8" spans="1:10" x14ac:dyDescent="0.3">
      <c r="A8" t="s">
        <v>121</v>
      </c>
      <c r="B8" t="s">
        <v>7</v>
      </c>
      <c r="C8" t="s">
        <v>193</v>
      </c>
      <c r="D8" t="s">
        <v>64</v>
      </c>
      <c r="E8">
        <v>86</v>
      </c>
      <c r="F8">
        <v>7</v>
      </c>
      <c r="G8" s="1">
        <v>16000</v>
      </c>
      <c r="H8" s="1">
        <v>15250</v>
      </c>
      <c r="I8" s="1">
        <v>42700</v>
      </c>
      <c r="J8" s="1">
        <v>2800</v>
      </c>
    </row>
    <row r="9" spans="1:10" x14ac:dyDescent="0.3">
      <c r="A9" t="s">
        <v>121</v>
      </c>
      <c r="B9" t="s">
        <v>6</v>
      </c>
      <c r="C9" t="s">
        <v>193</v>
      </c>
      <c r="D9" t="s">
        <v>64</v>
      </c>
      <c r="E9">
        <v>86</v>
      </c>
      <c r="F9">
        <v>7</v>
      </c>
      <c r="G9" s="1">
        <v>39500</v>
      </c>
      <c r="H9" s="1">
        <v>38250</v>
      </c>
      <c r="I9" s="1">
        <v>107100</v>
      </c>
      <c r="J9" s="1">
        <v>2800</v>
      </c>
    </row>
    <row r="10" spans="1:10" x14ac:dyDescent="0.3">
      <c r="A10" t="s">
        <v>121</v>
      </c>
      <c r="B10" t="s">
        <v>5</v>
      </c>
      <c r="C10" t="s">
        <v>193</v>
      </c>
      <c r="D10" t="s">
        <v>64</v>
      </c>
      <c r="E10">
        <v>86</v>
      </c>
      <c r="F10">
        <v>7</v>
      </c>
      <c r="G10" s="1">
        <v>24300</v>
      </c>
      <c r="H10" s="1">
        <v>23050</v>
      </c>
      <c r="I10" s="1">
        <v>41490</v>
      </c>
      <c r="J10" s="1">
        <v>1800</v>
      </c>
    </row>
    <row r="11" spans="1:10" x14ac:dyDescent="0.3">
      <c r="A11" t="s">
        <v>121</v>
      </c>
      <c r="B11" t="s">
        <v>4</v>
      </c>
      <c r="C11" t="s">
        <v>193</v>
      </c>
      <c r="D11" t="s">
        <v>64</v>
      </c>
      <c r="E11">
        <v>86</v>
      </c>
      <c r="F11">
        <v>7</v>
      </c>
      <c r="G11" s="1">
        <v>35800</v>
      </c>
      <c r="H11" s="1">
        <v>35380</v>
      </c>
      <c r="I11" s="1">
        <v>81374</v>
      </c>
      <c r="J11" s="1">
        <v>2300</v>
      </c>
    </row>
    <row r="12" spans="1:10" x14ac:dyDescent="0.3">
      <c r="A12" t="s">
        <v>121</v>
      </c>
      <c r="B12" t="s">
        <v>3</v>
      </c>
      <c r="C12" t="s">
        <v>193</v>
      </c>
      <c r="D12" t="s">
        <v>64</v>
      </c>
      <c r="E12">
        <v>86</v>
      </c>
      <c r="F12">
        <v>7</v>
      </c>
      <c r="G12" s="1">
        <v>35700</v>
      </c>
      <c r="H12" s="1">
        <v>32750</v>
      </c>
      <c r="I12" s="1">
        <v>58950</v>
      </c>
      <c r="J12" s="1">
        <v>1800</v>
      </c>
    </row>
    <row r="13" spans="1:10" x14ac:dyDescent="0.3">
      <c r="A13" t="s">
        <v>121</v>
      </c>
      <c r="B13" t="s">
        <v>18</v>
      </c>
      <c r="C13" t="s">
        <v>193</v>
      </c>
      <c r="D13" t="s">
        <v>62</v>
      </c>
      <c r="E13">
        <v>86</v>
      </c>
      <c r="F13">
        <v>14</v>
      </c>
      <c r="G13" s="1">
        <v>3000</v>
      </c>
      <c r="H13" s="1">
        <v>2500</v>
      </c>
      <c r="I13" s="1">
        <v>6000</v>
      </c>
      <c r="J13" s="1">
        <v>2400</v>
      </c>
    </row>
    <row r="14" spans="1:10" x14ac:dyDescent="0.3">
      <c r="A14" t="s">
        <v>121</v>
      </c>
      <c r="B14" t="s">
        <v>17</v>
      </c>
      <c r="C14" t="s">
        <v>193</v>
      </c>
      <c r="D14" t="s">
        <v>62</v>
      </c>
      <c r="E14">
        <v>86</v>
      </c>
      <c r="F14">
        <v>14</v>
      </c>
      <c r="G14" s="1">
        <v>3000</v>
      </c>
      <c r="H14" s="1">
        <v>2500</v>
      </c>
      <c r="I14" s="1">
        <v>3750</v>
      </c>
      <c r="J14" s="1">
        <v>1500</v>
      </c>
    </row>
    <row r="15" spans="1:10" x14ac:dyDescent="0.3">
      <c r="A15" t="s">
        <v>121</v>
      </c>
      <c r="B15" t="s">
        <v>14</v>
      </c>
      <c r="C15" t="s">
        <v>193</v>
      </c>
      <c r="D15" t="s">
        <v>62</v>
      </c>
      <c r="E15">
        <v>86</v>
      </c>
      <c r="F15">
        <v>14</v>
      </c>
      <c r="G15" s="1">
        <v>6220</v>
      </c>
      <c r="H15" s="1">
        <v>6110</v>
      </c>
      <c r="I15" s="1">
        <v>17719</v>
      </c>
      <c r="J15" s="1">
        <v>2900</v>
      </c>
    </row>
    <row r="16" spans="1:10" x14ac:dyDescent="0.3">
      <c r="A16" t="s">
        <v>121</v>
      </c>
      <c r="B16" t="s">
        <v>12</v>
      </c>
      <c r="C16" t="s">
        <v>193</v>
      </c>
      <c r="D16" t="s">
        <v>62</v>
      </c>
      <c r="E16">
        <v>86</v>
      </c>
      <c r="F16">
        <v>14</v>
      </c>
      <c r="G16" s="1">
        <v>5000</v>
      </c>
      <c r="H16" s="1">
        <v>5000</v>
      </c>
      <c r="I16" s="1">
        <v>19000</v>
      </c>
      <c r="J16" s="1">
        <v>3800</v>
      </c>
    </row>
    <row r="17" spans="1:10" x14ac:dyDescent="0.3">
      <c r="A17" t="s">
        <v>121</v>
      </c>
      <c r="B17" t="s">
        <v>9</v>
      </c>
      <c r="C17" t="s">
        <v>193</v>
      </c>
      <c r="D17" t="s">
        <v>62</v>
      </c>
      <c r="E17">
        <v>86</v>
      </c>
      <c r="F17">
        <v>14</v>
      </c>
      <c r="G17" s="1">
        <v>7630</v>
      </c>
      <c r="H17" s="1">
        <v>7120</v>
      </c>
      <c r="I17" s="1">
        <v>26344</v>
      </c>
      <c r="J17" s="1">
        <v>3700</v>
      </c>
    </row>
    <row r="18" spans="1:10" x14ac:dyDescent="0.3">
      <c r="A18" t="s">
        <v>121</v>
      </c>
      <c r="B18" t="s">
        <v>8</v>
      </c>
      <c r="C18" t="s">
        <v>193</v>
      </c>
      <c r="D18" t="s">
        <v>62</v>
      </c>
      <c r="E18">
        <v>86</v>
      </c>
      <c r="F18">
        <v>14</v>
      </c>
      <c r="G18" s="1">
        <v>9200</v>
      </c>
      <c r="H18" s="1">
        <v>8460</v>
      </c>
      <c r="I18" s="1">
        <v>28764</v>
      </c>
      <c r="J18" s="1">
        <v>3400</v>
      </c>
    </row>
    <row r="19" spans="1:10" x14ac:dyDescent="0.3">
      <c r="A19" t="s">
        <v>121</v>
      </c>
      <c r="B19" t="s">
        <v>7</v>
      </c>
      <c r="C19" t="s">
        <v>193</v>
      </c>
      <c r="D19" t="s">
        <v>62</v>
      </c>
      <c r="E19">
        <v>86</v>
      </c>
      <c r="F19">
        <v>14</v>
      </c>
      <c r="G19" s="1">
        <v>9500</v>
      </c>
      <c r="H19" s="1">
        <v>9300</v>
      </c>
      <c r="I19" s="1">
        <v>22320</v>
      </c>
      <c r="J19" s="1">
        <v>2400</v>
      </c>
    </row>
    <row r="20" spans="1:10" x14ac:dyDescent="0.3">
      <c r="A20" t="s">
        <v>121</v>
      </c>
      <c r="B20" t="s">
        <v>6</v>
      </c>
      <c r="C20" t="s">
        <v>193</v>
      </c>
      <c r="D20" t="s">
        <v>62</v>
      </c>
      <c r="E20">
        <v>86</v>
      </c>
      <c r="F20">
        <v>14</v>
      </c>
      <c r="G20" s="1">
        <v>10800</v>
      </c>
      <c r="H20" s="1">
        <v>10570</v>
      </c>
      <c r="I20" s="1">
        <v>28539</v>
      </c>
      <c r="J20" s="1">
        <v>2700</v>
      </c>
    </row>
    <row r="21" spans="1:10" x14ac:dyDescent="0.3">
      <c r="A21" t="s">
        <v>121</v>
      </c>
      <c r="B21" t="s">
        <v>5</v>
      </c>
      <c r="C21" t="s">
        <v>193</v>
      </c>
      <c r="D21" t="s">
        <v>62</v>
      </c>
      <c r="E21">
        <v>86</v>
      </c>
      <c r="F21">
        <v>14</v>
      </c>
      <c r="G21" s="1">
        <v>8950</v>
      </c>
      <c r="H21" s="1">
        <v>8370</v>
      </c>
      <c r="I21" s="1">
        <v>15485</v>
      </c>
      <c r="J21" s="1">
        <v>1850</v>
      </c>
    </row>
    <row r="22" spans="1:10" x14ac:dyDescent="0.3">
      <c r="A22" t="s">
        <v>121</v>
      </c>
      <c r="B22" t="s">
        <v>4</v>
      </c>
      <c r="C22" t="s">
        <v>193</v>
      </c>
      <c r="D22" t="s">
        <v>62</v>
      </c>
      <c r="E22">
        <v>86</v>
      </c>
      <c r="F22">
        <v>14</v>
      </c>
      <c r="G22" s="1">
        <v>16900</v>
      </c>
      <c r="H22" s="1">
        <v>16700</v>
      </c>
      <c r="I22" s="1">
        <v>30060</v>
      </c>
      <c r="J22" s="1">
        <v>1800</v>
      </c>
    </row>
    <row r="23" spans="1:10" x14ac:dyDescent="0.3">
      <c r="A23" t="s">
        <v>121</v>
      </c>
      <c r="B23" t="s">
        <v>3</v>
      </c>
      <c r="C23" t="s">
        <v>193</v>
      </c>
      <c r="D23" t="s">
        <v>62</v>
      </c>
      <c r="E23">
        <v>86</v>
      </c>
      <c r="F23">
        <v>14</v>
      </c>
      <c r="G23" s="1">
        <v>17400</v>
      </c>
      <c r="H23" s="1">
        <v>13240</v>
      </c>
      <c r="I23" s="1">
        <v>13240</v>
      </c>
      <c r="J23" s="1">
        <v>1000</v>
      </c>
    </row>
    <row r="24" spans="1:10" x14ac:dyDescent="0.3">
      <c r="A24" t="s">
        <v>121</v>
      </c>
      <c r="B24" t="s">
        <v>5</v>
      </c>
      <c r="C24" t="s">
        <v>193</v>
      </c>
      <c r="D24" t="s">
        <v>27</v>
      </c>
      <c r="E24">
        <v>86</v>
      </c>
      <c r="F24">
        <v>21</v>
      </c>
      <c r="G24" s="1">
        <v>500</v>
      </c>
      <c r="H24" s="1">
        <v>500</v>
      </c>
      <c r="I24" s="1">
        <v>1000</v>
      </c>
      <c r="J24" s="1">
        <v>2000</v>
      </c>
    </row>
    <row r="25" spans="1:10" x14ac:dyDescent="0.3">
      <c r="A25" t="s">
        <v>121</v>
      </c>
      <c r="B25" t="s">
        <v>4</v>
      </c>
      <c r="C25" t="s">
        <v>193</v>
      </c>
      <c r="D25" t="s">
        <v>27</v>
      </c>
      <c r="E25">
        <v>86</v>
      </c>
      <c r="F25">
        <v>21</v>
      </c>
      <c r="G25" s="1">
        <v>500</v>
      </c>
      <c r="H25" s="1">
        <v>500</v>
      </c>
      <c r="I25" s="1">
        <v>1250</v>
      </c>
      <c r="J25" s="1">
        <v>2500</v>
      </c>
    </row>
    <row r="26" spans="1:10" x14ac:dyDescent="0.3">
      <c r="A26" t="s">
        <v>121</v>
      </c>
      <c r="B26" t="s">
        <v>3</v>
      </c>
      <c r="C26" t="s">
        <v>193</v>
      </c>
      <c r="D26" t="s">
        <v>27</v>
      </c>
      <c r="E26">
        <v>86</v>
      </c>
      <c r="F26">
        <v>21</v>
      </c>
      <c r="G26" s="1">
        <v>600</v>
      </c>
      <c r="H26" s="1">
        <v>540</v>
      </c>
      <c r="I26" s="1">
        <v>972</v>
      </c>
      <c r="J26" s="1">
        <v>1800</v>
      </c>
    </row>
    <row r="27" spans="1:10" x14ac:dyDescent="0.3">
      <c r="A27" t="s">
        <v>121</v>
      </c>
      <c r="B27" t="s">
        <v>18</v>
      </c>
      <c r="C27" t="s">
        <v>193</v>
      </c>
      <c r="D27" t="s">
        <v>37</v>
      </c>
      <c r="E27">
        <v>86</v>
      </c>
      <c r="F27">
        <v>28</v>
      </c>
      <c r="G27" s="1">
        <v>4000</v>
      </c>
      <c r="H27" s="1">
        <v>4000</v>
      </c>
      <c r="I27" s="1">
        <v>8800</v>
      </c>
      <c r="J27" s="1">
        <v>2200</v>
      </c>
    </row>
    <row r="28" spans="1:10" x14ac:dyDescent="0.3">
      <c r="A28" t="s">
        <v>121</v>
      </c>
      <c r="B28" t="s">
        <v>17</v>
      </c>
      <c r="C28" t="s">
        <v>193</v>
      </c>
      <c r="D28" t="s">
        <v>37</v>
      </c>
      <c r="E28">
        <v>86</v>
      </c>
      <c r="F28">
        <v>28</v>
      </c>
      <c r="G28" s="1">
        <v>4000</v>
      </c>
      <c r="H28" s="1">
        <v>3500</v>
      </c>
      <c r="I28" s="1">
        <v>4550</v>
      </c>
      <c r="J28" s="1">
        <v>1300</v>
      </c>
    </row>
    <row r="29" spans="1:10" x14ac:dyDescent="0.3">
      <c r="A29" t="s">
        <v>121</v>
      </c>
      <c r="B29" t="s">
        <v>14</v>
      </c>
      <c r="C29" t="s">
        <v>193</v>
      </c>
      <c r="D29" t="s">
        <v>37</v>
      </c>
      <c r="E29">
        <v>86</v>
      </c>
      <c r="F29">
        <v>28</v>
      </c>
      <c r="G29" s="1">
        <v>3730</v>
      </c>
      <c r="H29" s="1">
        <v>3480</v>
      </c>
      <c r="I29" s="1">
        <v>10092</v>
      </c>
      <c r="J29" s="1">
        <v>2900</v>
      </c>
    </row>
    <row r="30" spans="1:10" x14ac:dyDescent="0.3">
      <c r="A30" t="s">
        <v>121</v>
      </c>
      <c r="B30" t="s">
        <v>12</v>
      </c>
      <c r="C30" t="s">
        <v>193</v>
      </c>
      <c r="D30" t="s">
        <v>37</v>
      </c>
      <c r="E30">
        <v>86</v>
      </c>
      <c r="F30">
        <v>28</v>
      </c>
      <c r="G30" s="1">
        <v>80</v>
      </c>
      <c r="H30" s="1">
        <v>80</v>
      </c>
      <c r="I30" s="1">
        <v>256</v>
      </c>
      <c r="J30" s="1">
        <v>3200</v>
      </c>
    </row>
    <row r="31" spans="1:10" x14ac:dyDescent="0.3">
      <c r="A31" t="s">
        <v>121</v>
      </c>
      <c r="B31" t="s">
        <v>9</v>
      </c>
      <c r="C31" t="s">
        <v>193</v>
      </c>
      <c r="D31" t="s">
        <v>37</v>
      </c>
      <c r="E31">
        <v>86</v>
      </c>
      <c r="F31">
        <v>28</v>
      </c>
      <c r="G31" s="1">
        <v>4015</v>
      </c>
      <c r="H31" s="1">
        <v>3835</v>
      </c>
      <c r="I31" s="1">
        <v>11505</v>
      </c>
      <c r="J31" s="1">
        <v>3000</v>
      </c>
    </row>
    <row r="32" spans="1:10" x14ac:dyDescent="0.3">
      <c r="A32" t="s">
        <v>121</v>
      </c>
      <c r="B32" t="s">
        <v>8</v>
      </c>
      <c r="C32" t="s">
        <v>193</v>
      </c>
      <c r="D32" t="s">
        <v>37</v>
      </c>
      <c r="E32">
        <v>86</v>
      </c>
      <c r="F32">
        <v>28</v>
      </c>
      <c r="G32" s="1">
        <v>4200</v>
      </c>
      <c r="H32" s="1">
        <v>3990</v>
      </c>
      <c r="I32" s="1">
        <v>10773</v>
      </c>
      <c r="J32" s="1">
        <v>2700</v>
      </c>
    </row>
    <row r="33" spans="1:10" x14ac:dyDescent="0.3">
      <c r="A33" t="s">
        <v>121</v>
      </c>
      <c r="B33" t="s">
        <v>7</v>
      </c>
      <c r="C33" t="s">
        <v>193</v>
      </c>
      <c r="D33" t="s">
        <v>37</v>
      </c>
      <c r="E33">
        <v>86</v>
      </c>
      <c r="F33">
        <v>28</v>
      </c>
      <c r="G33" s="1">
        <v>2200</v>
      </c>
      <c r="H33" s="1">
        <v>2200</v>
      </c>
      <c r="I33" s="1">
        <v>5500</v>
      </c>
      <c r="J33" s="1">
        <v>2500</v>
      </c>
    </row>
    <row r="34" spans="1:10" x14ac:dyDescent="0.3">
      <c r="A34" t="s">
        <v>121</v>
      </c>
      <c r="B34" t="s">
        <v>6</v>
      </c>
      <c r="C34" t="s">
        <v>193</v>
      </c>
      <c r="D34" t="s">
        <v>37</v>
      </c>
      <c r="E34">
        <v>86</v>
      </c>
      <c r="F34">
        <v>28</v>
      </c>
      <c r="G34" s="1">
        <v>3100</v>
      </c>
      <c r="H34" s="1">
        <v>2980</v>
      </c>
      <c r="I34" s="1">
        <v>9536</v>
      </c>
      <c r="J34" s="1">
        <v>3200</v>
      </c>
    </row>
    <row r="35" spans="1:10" x14ac:dyDescent="0.3">
      <c r="A35" t="s">
        <v>121</v>
      </c>
      <c r="B35" t="s">
        <v>5</v>
      </c>
      <c r="C35" t="s">
        <v>193</v>
      </c>
      <c r="D35" t="s">
        <v>37</v>
      </c>
      <c r="E35">
        <v>86</v>
      </c>
      <c r="F35">
        <v>28</v>
      </c>
      <c r="G35" s="1">
        <v>2200</v>
      </c>
      <c r="H35" s="1">
        <v>1850</v>
      </c>
      <c r="I35" s="1">
        <v>3330</v>
      </c>
      <c r="J35" s="1">
        <v>1800</v>
      </c>
    </row>
    <row r="36" spans="1:10" x14ac:dyDescent="0.3">
      <c r="A36" t="s">
        <v>121</v>
      </c>
      <c r="B36" t="s">
        <v>4</v>
      </c>
      <c r="C36" t="s">
        <v>193</v>
      </c>
      <c r="D36" t="s">
        <v>37</v>
      </c>
      <c r="E36">
        <v>86</v>
      </c>
      <c r="F36">
        <v>28</v>
      </c>
      <c r="G36" s="1">
        <v>4200</v>
      </c>
      <c r="H36" s="1">
        <v>4200</v>
      </c>
      <c r="I36" s="1">
        <v>10080</v>
      </c>
      <c r="J36" s="1">
        <v>2400</v>
      </c>
    </row>
    <row r="37" spans="1:10" x14ac:dyDescent="0.3">
      <c r="A37" t="s">
        <v>121</v>
      </c>
      <c r="B37" t="s">
        <v>3</v>
      </c>
      <c r="C37" t="s">
        <v>193</v>
      </c>
      <c r="D37" t="s">
        <v>37</v>
      </c>
      <c r="E37">
        <v>86</v>
      </c>
      <c r="F37">
        <v>28</v>
      </c>
      <c r="G37" s="1">
        <v>3900</v>
      </c>
      <c r="H37" s="1">
        <v>3750</v>
      </c>
      <c r="I37" s="1">
        <v>9750</v>
      </c>
      <c r="J37" s="1">
        <v>2600</v>
      </c>
    </row>
    <row r="38" spans="1:10" x14ac:dyDescent="0.3">
      <c r="A38" t="s">
        <v>121</v>
      </c>
      <c r="B38" t="s">
        <v>18</v>
      </c>
      <c r="C38" t="s">
        <v>193</v>
      </c>
      <c r="D38" t="s">
        <v>44</v>
      </c>
      <c r="E38">
        <v>86</v>
      </c>
      <c r="F38">
        <v>35</v>
      </c>
      <c r="G38" s="1">
        <v>15000</v>
      </c>
      <c r="H38" s="1">
        <v>15000</v>
      </c>
      <c r="I38" s="1">
        <v>42000</v>
      </c>
      <c r="J38" s="1">
        <v>2800</v>
      </c>
    </row>
    <row r="39" spans="1:10" x14ac:dyDescent="0.3">
      <c r="A39" t="s">
        <v>121</v>
      </c>
      <c r="B39" t="s">
        <v>17</v>
      </c>
      <c r="C39" t="s">
        <v>193</v>
      </c>
      <c r="D39" t="s">
        <v>44</v>
      </c>
      <c r="E39">
        <v>86</v>
      </c>
      <c r="F39">
        <v>35</v>
      </c>
      <c r="G39" s="1">
        <v>15000</v>
      </c>
      <c r="H39" s="1">
        <v>15000</v>
      </c>
      <c r="I39" s="1">
        <v>45000</v>
      </c>
      <c r="J39" s="1">
        <v>3000</v>
      </c>
    </row>
    <row r="40" spans="1:10" x14ac:dyDescent="0.3">
      <c r="A40" t="s">
        <v>121</v>
      </c>
      <c r="B40" t="s">
        <v>14</v>
      </c>
      <c r="C40" t="s">
        <v>193</v>
      </c>
      <c r="D40" t="s">
        <v>44</v>
      </c>
      <c r="E40">
        <v>86</v>
      </c>
      <c r="F40">
        <v>35</v>
      </c>
      <c r="G40" s="1">
        <v>10000</v>
      </c>
      <c r="H40" s="1">
        <v>10000</v>
      </c>
      <c r="I40" s="1">
        <v>28000</v>
      </c>
      <c r="J40" s="1">
        <v>2800</v>
      </c>
    </row>
    <row r="41" spans="1:10" x14ac:dyDescent="0.3">
      <c r="A41" t="s">
        <v>121</v>
      </c>
      <c r="B41" t="s">
        <v>12</v>
      </c>
      <c r="C41" t="s">
        <v>193</v>
      </c>
      <c r="D41" t="s">
        <v>44</v>
      </c>
      <c r="E41">
        <v>86</v>
      </c>
      <c r="F41">
        <v>35</v>
      </c>
      <c r="G41" s="1">
        <v>12000</v>
      </c>
      <c r="H41" s="1">
        <v>12000</v>
      </c>
      <c r="I41" s="1">
        <v>48000</v>
      </c>
      <c r="J41" s="1">
        <v>4000</v>
      </c>
    </row>
    <row r="42" spans="1:10" x14ac:dyDescent="0.3">
      <c r="A42" t="s">
        <v>121</v>
      </c>
      <c r="B42" t="s">
        <v>9</v>
      </c>
      <c r="C42" t="s">
        <v>193</v>
      </c>
      <c r="D42" t="s">
        <v>44</v>
      </c>
      <c r="E42">
        <v>86</v>
      </c>
      <c r="F42">
        <v>35</v>
      </c>
      <c r="G42" s="1">
        <v>15000</v>
      </c>
      <c r="H42" s="1">
        <v>14000</v>
      </c>
      <c r="I42" s="1">
        <v>42000</v>
      </c>
      <c r="J42" s="1">
        <v>3000</v>
      </c>
    </row>
    <row r="43" spans="1:10" x14ac:dyDescent="0.3">
      <c r="A43" t="s">
        <v>121</v>
      </c>
      <c r="B43" t="s">
        <v>8</v>
      </c>
      <c r="C43" t="s">
        <v>193</v>
      </c>
      <c r="D43" t="s">
        <v>44</v>
      </c>
      <c r="E43">
        <v>86</v>
      </c>
      <c r="F43">
        <v>35</v>
      </c>
      <c r="G43" s="1">
        <v>15000</v>
      </c>
      <c r="H43" s="1">
        <v>15000</v>
      </c>
      <c r="I43" s="1">
        <v>45000</v>
      </c>
      <c r="J43" s="1">
        <v>3000</v>
      </c>
    </row>
    <row r="44" spans="1:10" x14ac:dyDescent="0.3">
      <c r="A44" t="s">
        <v>121</v>
      </c>
      <c r="B44" t="s">
        <v>7</v>
      </c>
      <c r="C44" t="s">
        <v>193</v>
      </c>
      <c r="D44" t="s">
        <v>44</v>
      </c>
      <c r="E44">
        <v>86</v>
      </c>
      <c r="F44">
        <v>35</v>
      </c>
      <c r="G44" s="1">
        <v>15000</v>
      </c>
      <c r="H44" s="1">
        <v>15000</v>
      </c>
      <c r="I44" s="1">
        <v>45000</v>
      </c>
      <c r="J44" s="1">
        <v>3000</v>
      </c>
    </row>
    <row r="45" spans="1:10" x14ac:dyDescent="0.3">
      <c r="A45" t="s">
        <v>121</v>
      </c>
      <c r="B45" t="s">
        <v>6</v>
      </c>
      <c r="C45" t="s">
        <v>193</v>
      </c>
      <c r="D45" t="s">
        <v>44</v>
      </c>
      <c r="E45">
        <v>86</v>
      </c>
      <c r="F45">
        <v>35</v>
      </c>
      <c r="G45" s="1">
        <v>15000</v>
      </c>
      <c r="H45" s="1">
        <v>15000</v>
      </c>
      <c r="I45" s="1">
        <v>37500</v>
      </c>
      <c r="J45" s="1">
        <v>2500</v>
      </c>
    </row>
    <row r="46" spans="1:10" x14ac:dyDescent="0.3">
      <c r="A46" t="s">
        <v>121</v>
      </c>
      <c r="B46" t="s">
        <v>5</v>
      </c>
      <c r="C46" t="s">
        <v>193</v>
      </c>
      <c r="D46" t="s">
        <v>44</v>
      </c>
      <c r="E46">
        <v>86</v>
      </c>
      <c r="F46">
        <v>35</v>
      </c>
      <c r="G46" s="1">
        <v>18000</v>
      </c>
      <c r="H46" s="1">
        <v>18000</v>
      </c>
      <c r="I46" s="1">
        <v>36000</v>
      </c>
      <c r="J46" s="1">
        <v>2000</v>
      </c>
    </row>
    <row r="47" spans="1:10" x14ac:dyDescent="0.3">
      <c r="A47" t="s">
        <v>121</v>
      </c>
      <c r="B47" t="s">
        <v>4</v>
      </c>
      <c r="C47" t="s">
        <v>193</v>
      </c>
      <c r="D47" t="s">
        <v>44</v>
      </c>
      <c r="E47">
        <v>86</v>
      </c>
      <c r="F47">
        <v>35</v>
      </c>
      <c r="G47" s="1">
        <v>18000</v>
      </c>
      <c r="H47" s="1">
        <v>18000</v>
      </c>
      <c r="I47" s="1">
        <v>45000</v>
      </c>
      <c r="J47" s="1">
        <v>2500</v>
      </c>
    </row>
    <row r="48" spans="1:10" x14ac:dyDescent="0.3">
      <c r="A48" t="s">
        <v>121</v>
      </c>
      <c r="B48" t="s">
        <v>3</v>
      </c>
      <c r="C48" t="s">
        <v>193</v>
      </c>
      <c r="D48" t="s">
        <v>44</v>
      </c>
      <c r="E48">
        <v>86</v>
      </c>
      <c r="F48">
        <v>35</v>
      </c>
      <c r="G48" s="1">
        <v>15000</v>
      </c>
      <c r="H48" s="1">
        <v>14915</v>
      </c>
      <c r="I48" s="1">
        <v>29830</v>
      </c>
      <c r="J48" s="1">
        <v>2000</v>
      </c>
    </row>
    <row r="49" spans="1:10" x14ac:dyDescent="0.3">
      <c r="A49" t="s">
        <v>121</v>
      </c>
      <c r="B49" t="s">
        <v>18</v>
      </c>
      <c r="C49" t="s">
        <v>193</v>
      </c>
      <c r="D49" t="s">
        <v>74</v>
      </c>
      <c r="E49">
        <v>86</v>
      </c>
      <c r="F49">
        <v>42</v>
      </c>
      <c r="G49" s="1">
        <v>3000</v>
      </c>
      <c r="H49" s="1">
        <v>2000</v>
      </c>
      <c r="I49" s="1">
        <v>4200</v>
      </c>
      <c r="J49" s="1">
        <v>2100</v>
      </c>
    </row>
    <row r="50" spans="1:10" x14ac:dyDescent="0.3">
      <c r="A50" t="s">
        <v>121</v>
      </c>
      <c r="B50" t="s">
        <v>17</v>
      </c>
      <c r="C50" t="s">
        <v>193</v>
      </c>
      <c r="D50" t="s">
        <v>74</v>
      </c>
      <c r="E50">
        <v>86</v>
      </c>
      <c r="F50">
        <v>42</v>
      </c>
      <c r="G50" s="1">
        <v>3000</v>
      </c>
      <c r="H50" s="1">
        <v>2500</v>
      </c>
      <c r="I50" s="1">
        <v>2500</v>
      </c>
      <c r="J50" s="1">
        <v>1000</v>
      </c>
    </row>
    <row r="51" spans="1:10" x14ac:dyDescent="0.3">
      <c r="A51" t="s">
        <v>121</v>
      </c>
      <c r="B51" t="s">
        <v>14</v>
      </c>
      <c r="C51" t="s">
        <v>193</v>
      </c>
      <c r="D51" t="s">
        <v>74</v>
      </c>
      <c r="E51">
        <v>86</v>
      </c>
      <c r="F51">
        <v>42</v>
      </c>
      <c r="G51" s="1">
        <v>5480</v>
      </c>
      <c r="H51" s="1">
        <v>5220</v>
      </c>
      <c r="I51" s="1">
        <v>12528</v>
      </c>
      <c r="J51" s="1">
        <v>2400</v>
      </c>
    </row>
    <row r="52" spans="1:10" x14ac:dyDescent="0.3">
      <c r="A52" t="s">
        <v>121</v>
      </c>
      <c r="B52" t="s">
        <v>12</v>
      </c>
      <c r="C52" t="s">
        <v>193</v>
      </c>
      <c r="D52" t="s">
        <v>74</v>
      </c>
      <c r="E52">
        <v>86</v>
      </c>
      <c r="F52">
        <v>42</v>
      </c>
      <c r="G52" s="1">
        <v>5500</v>
      </c>
      <c r="H52" s="1">
        <v>5380</v>
      </c>
      <c r="I52" s="1">
        <v>12912</v>
      </c>
      <c r="J52" s="1">
        <v>2400</v>
      </c>
    </row>
    <row r="53" spans="1:10" x14ac:dyDescent="0.3">
      <c r="A53" t="s">
        <v>121</v>
      </c>
      <c r="B53" t="s">
        <v>9</v>
      </c>
      <c r="C53" t="s">
        <v>193</v>
      </c>
      <c r="D53" t="s">
        <v>74</v>
      </c>
      <c r="E53">
        <v>86</v>
      </c>
      <c r="F53">
        <v>42</v>
      </c>
      <c r="G53" s="1">
        <v>21210</v>
      </c>
      <c r="H53" s="1">
        <v>17350</v>
      </c>
      <c r="I53" s="1">
        <v>58990</v>
      </c>
      <c r="J53" s="1">
        <v>3400</v>
      </c>
    </row>
    <row r="54" spans="1:10" x14ac:dyDescent="0.3">
      <c r="A54" t="s">
        <v>121</v>
      </c>
      <c r="B54" t="s">
        <v>8</v>
      </c>
      <c r="C54" t="s">
        <v>193</v>
      </c>
      <c r="D54" t="s">
        <v>74</v>
      </c>
      <c r="E54">
        <v>86</v>
      </c>
      <c r="F54">
        <v>42</v>
      </c>
      <c r="G54" s="1">
        <v>22500</v>
      </c>
      <c r="H54" s="1">
        <v>22130</v>
      </c>
      <c r="I54" s="1">
        <v>59751</v>
      </c>
      <c r="J54" s="1">
        <v>2700</v>
      </c>
    </row>
    <row r="55" spans="1:10" x14ac:dyDescent="0.3">
      <c r="A55" t="s">
        <v>121</v>
      </c>
      <c r="B55" t="s">
        <v>7</v>
      </c>
      <c r="C55" t="s">
        <v>193</v>
      </c>
      <c r="D55" t="s">
        <v>74</v>
      </c>
      <c r="E55">
        <v>86</v>
      </c>
      <c r="F55">
        <v>42</v>
      </c>
      <c r="G55" s="1">
        <v>19500</v>
      </c>
      <c r="H55" s="1">
        <v>18970</v>
      </c>
      <c r="I55" s="1">
        <v>53116</v>
      </c>
      <c r="J55" s="1">
        <v>2800</v>
      </c>
    </row>
    <row r="56" spans="1:10" x14ac:dyDescent="0.3">
      <c r="A56" t="s">
        <v>121</v>
      </c>
      <c r="B56" t="s">
        <v>6</v>
      </c>
      <c r="C56" t="s">
        <v>193</v>
      </c>
      <c r="D56" t="s">
        <v>74</v>
      </c>
      <c r="E56">
        <v>86</v>
      </c>
      <c r="F56">
        <v>42</v>
      </c>
      <c r="G56" s="1">
        <v>23000</v>
      </c>
      <c r="H56" s="1">
        <v>22750</v>
      </c>
      <c r="I56" s="1">
        <v>72800</v>
      </c>
      <c r="J56" s="1">
        <v>3200</v>
      </c>
    </row>
    <row r="57" spans="1:10" x14ac:dyDescent="0.3">
      <c r="A57" t="s">
        <v>121</v>
      </c>
      <c r="B57" t="s">
        <v>5</v>
      </c>
      <c r="C57" t="s">
        <v>193</v>
      </c>
      <c r="D57" t="s">
        <v>74</v>
      </c>
      <c r="E57">
        <v>86</v>
      </c>
      <c r="F57">
        <v>42</v>
      </c>
      <c r="G57" s="1">
        <v>17950</v>
      </c>
      <c r="H57" s="1">
        <v>16540</v>
      </c>
      <c r="I57" s="1">
        <v>31426</v>
      </c>
      <c r="J57" s="1">
        <v>1900</v>
      </c>
    </row>
    <row r="58" spans="1:10" x14ac:dyDescent="0.3">
      <c r="A58" t="s">
        <v>121</v>
      </c>
      <c r="B58" t="s">
        <v>4</v>
      </c>
      <c r="C58" t="s">
        <v>193</v>
      </c>
      <c r="D58" t="s">
        <v>74</v>
      </c>
      <c r="E58">
        <v>86</v>
      </c>
      <c r="F58">
        <v>42</v>
      </c>
      <c r="G58" s="1">
        <v>22700</v>
      </c>
      <c r="H58" s="1">
        <v>22640</v>
      </c>
      <c r="I58" s="1">
        <v>61128</v>
      </c>
      <c r="J58" s="1">
        <v>2700</v>
      </c>
    </row>
    <row r="59" spans="1:10" x14ac:dyDescent="0.3">
      <c r="A59" t="s">
        <v>121</v>
      </c>
      <c r="B59" t="s">
        <v>3</v>
      </c>
      <c r="C59" t="s">
        <v>193</v>
      </c>
      <c r="D59" t="s">
        <v>74</v>
      </c>
      <c r="E59">
        <v>86</v>
      </c>
      <c r="F59">
        <v>42</v>
      </c>
      <c r="G59" s="1">
        <v>24900</v>
      </c>
      <c r="H59" s="1">
        <v>24040</v>
      </c>
      <c r="I59" s="1">
        <v>72120</v>
      </c>
      <c r="J59" s="1">
        <v>3000</v>
      </c>
    </row>
    <row r="60" spans="1:10" x14ac:dyDescent="0.3">
      <c r="A60" t="s">
        <v>121</v>
      </c>
      <c r="B60" t="s">
        <v>18</v>
      </c>
      <c r="C60" t="s">
        <v>193</v>
      </c>
      <c r="D60" t="s">
        <v>41</v>
      </c>
      <c r="E60">
        <v>86</v>
      </c>
      <c r="F60">
        <v>49</v>
      </c>
      <c r="G60" s="1">
        <v>4000</v>
      </c>
      <c r="H60" s="1">
        <v>4000</v>
      </c>
      <c r="I60" s="1">
        <v>11200</v>
      </c>
      <c r="J60" s="1">
        <v>2800</v>
      </c>
    </row>
    <row r="61" spans="1:10" x14ac:dyDescent="0.3">
      <c r="A61" t="s">
        <v>121</v>
      </c>
      <c r="B61" t="s">
        <v>17</v>
      </c>
      <c r="C61" t="s">
        <v>193</v>
      </c>
      <c r="D61" t="s">
        <v>41</v>
      </c>
      <c r="E61">
        <v>86</v>
      </c>
      <c r="F61">
        <v>49</v>
      </c>
      <c r="G61" s="1">
        <v>5000</v>
      </c>
      <c r="H61" s="1">
        <v>5000</v>
      </c>
      <c r="I61" s="1">
        <v>15000</v>
      </c>
      <c r="J61" s="1">
        <v>3000</v>
      </c>
    </row>
    <row r="62" spans="1:10" x14ac:dyDescent="0.3">
      <c r="A62" t="s">
        <v>121</v>
      </c>
      <c r="B62" t="s">
        <v>14</v>
      </c>
      <c r="C62" t="s">
        <v>193</v>
      </c>
      <c r="D62" t="s">
        <v>41</v>
      </c>
      <c r="E62">
        <v>86</v>
      </c>
      <c r="F62">
        <v>49</v>
      </c>
      <c r="G62" s="1">
        <v>4000</v>
      </c>
      <c r="H62" s="1">
        <v>4000</v>
      </c>
      <c r="I62" s="1">
        <v>11200</v>
      </c>
      <c r="J62" s="1">
        <v>2800</v>
      </c>
    </row>
    <row r="63" spans="1:10" x14ac:dyDescent="0.3">
      <c r="A63" t="s">
        <v>121</v>
      </c>
      <c r="B63" t="s">
        <v>12</v>
      </c>
      <c r="C63" t="s">
        <v>193</v>
      </c>
      <c r="D63" t="s">
        <v>41</v>
      </c>
      <c r="E63">
        <v>86</v>
      </c>
      <c r="F63">
        <v>49</v>
      </c>
      <c r="G63" s="1">
        <v>5000</v>
      </c>
      <c r="H63" s="1">
        <v>5000</v>
      </c>
      <c r="I63" s="1">
        <v>17500</v>
      </c>
      <c r="J63" s="1">
        <v>3500</v>
      </c>
    </row>
    <row r="64" spans="1:10" x14ac:dyDescent="0.3">
      <c r="A64" t="s">
        <v>121</v>
      </c>
      <c r="B64" t="s">
        <v>9</v>
      </c>
      <c r="C64" t="s">
        <v>193</v>
      </c>
      <c r="D64" t="s">
        <v>41</v>
      </c>
      <c r="E64">
        <v>86</v>
      </c>
      <c r="F64">
        <v>49</v>
      </c>
      <c r="G64" s="1">
        <v>5000</v>
      </c>
      <c r="H64" s="1">
        <v>5000</v>
      </c>
      <c r="I64" s="1">
        <v>15000</v>
      </c>
      <c r="J64" s="1">
        <v>3000</v>
      </c>
    </row>
    <row r="65" spans="1:10" x14ac:dyDescent="0.3">
      <c r="A65" t="s">
        <v>121</v>
      </c>
      <c r="B65" t="s">
        <v>8</v>
      </c>
      <c r="C65" t="s">
        <v>193</v>
      </c>
      <c r="D65" t="s">
        <v>41</v>
      </c>
      <c r="E65">
        <v>86</v>
      </c>
      <c r="F65">
        <v>49</v>
      </c>
      <c r="G65" s="1">
        <v>5000</v>
      </c>
      <c r="H65" s="1">
        <v>5000</v>
      </c>
      <c r="I65" s="1">
        <v>15000</v>
      </c>
      <c r="J65" s="1">
        <v>3000</v>
      </c>
    </row>
    <row r="66" spans="1:10" x14ac:dyDescent="0.3">
      <c r="A66" t="s">
        <v>121</v>
      </c>
      <c r="B66" t="s">
        <v>7</v>
      </c>
      <c r="C66" t="s">
        <v>193</v>
      </c>
      <c r="D66" t="s">
        <v>41</v>
      </c>
      <c r="E66">
        <v>86</v>
      </c>
      <c r="F66">
        <v>49</v>
      </c>
      <c r="G66" s="1">
        <v>5000</v>
      </c>
      <c r="H66" s="1">
        <v>5000</v>
      </c>
      <c r="I66" s="1">
        <v>15000</v>
      </c>
      <c r="J66" s="1">
        <v>3000</v>
      </c>
    </row>
    <row r="67" spans="1:10" x14ac:dyDescent="0.3">
      <c r="A67" t="s">
        <v>121</v>
      </c>
      <c r="B67" t="s">
        <v>6</v>
      </c>
      <c r="C67" t="s">
        <v>193</v>
      </c>
      <c r="D67" t="s">
        <v>41</v>
      </c>
      <c r="E67">
        <v>86</v>
      </c>
      <c r="F67">
        <v>49</v>
      </c>
      <c r="G67" s="1">
        <v>5000</v>
      </c>
      <c r="H67" s="1">
        <v>5000</v>
      </c>
      <c r="I67" s="1">
        <v>12500</v>
      </c>
      <c r="J67" s="1">
        <v>2500</v>
      </c>
    </row>
    <row r="68" spans="1:10" x14ac:dyDescent="0.3">
      <c r="A68" t="s">
        <v>121</v>
      </c>
      <c r="B68" t="s">
        <v>5</v>
      </c>
      <c r="C68" t="s">
        <v>193</v>
      </c>
      <c r="D68" t="s">
        <v>41</v>
      </c>
      <c r="E68">
        <v>86</v>
      </c>
      <c r="F68">
        <v>49</v>
      </c>
      <c r="G68" s="1">
        <v>5000</v>
      </c>
      <c r="H68" s="1">
        <v>5000</v>
      </c>
      <c r="I68" s="1">
        <v>10000</v>
      </c>
      <c r="J68" s="1">
        <v>2000</v>
      </c>
    </row>
    <row r="69" spans="1:10" x14ac:dyDescent="0.3">
      <c r="A69" t="s">
        <v>121</v>
      </c>
      <c r="B69" t="s">
        <v>4</v>
      </c>
      <c r="C69" t="s">
        <v>193</v>
      </c>
      <c r="D69" t="s">
        <v>41</v>
      </c>
      <c r="E69">
        <v>86</v>
      </c>
      <c r="F69">
        <v>49</v>
      </c>
      <c r="G69" s="1">
        <v>5000</v>
      </c>
      <c r="H69" s="1">
        <v>5000</v>
      </c>
      <c r="I69" s="1">
        <v>15000</v>
      </c>
      <c r="J69" s="1">
        <v>3000</v>
      </c>
    </row>
    <row r="70" spans="1:10" x14ac:dyDescent="0.3">
      <c r="A70" t="s">
        <v>121</v>
      </c>
      <c r="B70" t="s">
        <v>3</v>
      </c>
      <c r="C70" t="s">
        <v>193</v>
      </c>
      <c r="D70" t="s">
        <v>41</v>
      </c>
      <c r="E70">
        <v>86</v>
      </c>
      <c r="F70">
        <v>49</v>
      </c>
      <c r="G70" s="1">
        <v>5000</v>
      </c>
      <c r="H70" s="1">
        <v>4950</v>
      </c>
      <c r="I70" s="1">
        <v>10395</v>
      </c>
      <c r="J70" s="1">
        <v>2100</v>
      </c>
    </row>
    <row r="71" spans="1:10" x14ac:dyDescent="0.3">
      <c r="A71" t="s">
        <v>121</v>
      </c>
      <c r="B71" t="s">
        <v>5</v>
      </c>
      <c r="C71" t="s">
        <v>193</v>
      </c>
      <c r="D71" t="s">
        <v>48</v>
      </c>
      <c r="E71">
        <v>86</v>
      </c>
      <c r="F71">
        <v>63</v>
      </c>
      <c r="G71" s="1">
        <v>150</v>
      </c>
      <c r="H71" s="1">
        <v>150</v>
      </c>
      <c r="I71" s="1">
        <v>270</v>
      </c>
      <c r="J71" s="1">
        <v>1800</v>
      </c>
    </row>
    <row r="72" spans="1:10" x14ac:dyDescent="0.3">
      <c r="A72" t="s">
        <v>121</v>
      </c>
      <c r="B72" t="s">
        <v>4</v>
      </c>
      <c r="C72" t="s">
        <v>193</v>
      </c>
      <c r="D72" t="s">
        <v>48</v>
      </c>
      <c r="E72">
        <v>86</v>
      </c>
      <c r="F72">
        <v>63</v>
      </c>
      <c r="G72" s="1">
        <v>300</v>
      </c>
      <c r="H72" s="1">
        <v>300</v>
      </c>
      <c r="I72" s="1">
        <v>600</v>
      </c>
      <c r="J72" s="1">
        <v>2000</v>
      </c>
    </row>
    <row r="73" spans="1:10" x14ac:dyDescent="0.3">
      <c r="A73" t="s">
        <v>121</v>
      </c>
      <c r="B73" t="s">
        <v>3</v>
      </c>
      <c r="C73" t="s">
        <v>193</v>
      </c>
      <c r="D73" t="s">
        <v>48</v>
      </c>
      <c r="E73">
        <v>86</v>
      </c>
      <c r="F73">
        <v>63</v>
      </c>
      <c r="G73" s="1">
        <v>250</v>
      </c>
      <c r="H73" s="1">
        <v>235</v>
      </c>
      <c r="I73" s="1">
        <v>517</v>
      </c>
      <c r="J73" s="1">
        <v>2200</v>
      </c>
    </row>
    <row r="74" spans="1:10" x14ac:dyDescent="0.3">
      <c r="A74" t="s">
        <v>121</v>
      </c>
      <c r="B74" t="s">
        <v>18</v>
      </c>
      <c r="C74" t="s">
        <v>193</v>
      </c>
      <c r="D74" t="s">
        <v>51</v>
      </c>
      <c r="E74">
        <v>86</v>
      </c>
      <c r="F74">
        <v>56</v>
      </c>
      <c r="G74" s="1">
        <v>1500</v>
      </c>
      <c r="H74" s="1">
        <v>1200</v>
      </c>
      <c r="I74" s="1">
        <v>3120</v>
      </c>
      <c r="J74" s="1">
        <v>2600</v>
      </c>
    </row>
    <row r="75" spans="1:10" x14ac:dyDescent="0.3">
      <c r="A75" t="s">
        <v>121</v>
      </c>
      <c r="B75" t="s">
        <v>17</v>
      </c>
      <c r="C75" t="s">
        <v>193</v>
      </c>
      <c r="D75" t="s">
        <v>51</v>
      </c>
      <c r="E75">
        <v>86</v>
      </c>
      <c r="F75">
        <v>56</v>
      </c>
      <c r="G75" s="1">
        <v>1500</v>
      </c>
      <c r="H75" s="1">
        <v>1300</v>
      </c>
      <c r="I75" s="1">
        <v>2470</v>
      </c>
      <c r="J75" s="1">
        <v>1900</v>
      </c>
    </row>
    <row r="76" spans="1:10" x14ac:dyDescent="0.3">
      <c r="A76" t="s">
        <v>121</v>
      </c>
      <c r="B76" t="s">
        <v>14</v>
      </c>
      <c r="C76" t="s">
        <v>193</v>
      </c>
      <c r="D76" t="s">
        <v>51</v>
      </c>
      <c r="E76">
        <v>86</v>
      </c>
      <c r="F76">
        <v>56</v>
      </c>
      <c r="G76" s="1">
        <v>1150</v>
      </c>
      <c r="H76" s="1">
        <v>1150</v>
      </c>
      <c r="I76" s="1">
        <v>2760</v>
      </c>
      <c r="J76" s="1">
        <v>2400</v>
      </c>
    </row>
    <row r="77" spans="1:10" x14ac:dyDescent="0.3">
      <c r="A77" t="s">
        <v>121</v>
      </c>
      <c r="B77" t="s">
        <v>12</v>
      </c>
      <c r="C77" t="s">
        <v>193</v>
      </c>
      <c r="D77" t="s">
        <v>51</v>
      </c>
      <c r="E77">
        <v>86</v>
      </c>
      <c r="F77">
        <v>56</v>
      </c>
      <c r="G77" s="1">
        <v>1500</v>
      </c>
      <c r="H77" s="1">
        <v>1380</v>
      </c>
      <c r="I77" s="1">
        <v>3588</v>
      </c>
      <c r="J77" s="1">
        <v>2600</v>
      </c>
    </row>
    <row r="78" spans="1:10" x14ac:dyDescent="0.3">
      <c r="A78" t="s">
        <v>121</v>
      </c>
      <c r="B78" t="s">
        <v>9</v>
      </c>
      <c r="C78" t="s">
        <v>193</v>
      </c>
      <c r="D78" t="s">
        <v>51</v>
      </c>
      <c r="E78">
        <v>86</v>
      </c>
      <c r="F78">
        <v>56</v>
      </c>
      <c r="G78" s="1">
        <v>1834</v>
      </c>
      <c r="H78" s="1">
        <v>1724</v>
      </c>
      <c r="I78" s="1">
        <v>5689</v>
      </c>
      <c r="J78" s="1">
        <v>3300</v>
      </c>
    </row>
    <row r="79" spans="1:10" x14ac:dyDescent="0.3">
      <c r="A79" t="s">
        <v>121</v>
      </c>
      <c r="B79" t="s">
        <v>8</v>
      </c>
      <c r="C79" t="s">
        <v>193</v>
      </c>
      <c r="D79" t="s">
        <v>51</v>
      </c>
      <c r="E79">
        <v>86</v>
      </c>
      <c r="F79">
        <v>56</v>
      </c>
      <c r="G79" s="1">
        <v>2400</v>
      </c>
      <c r="H79" s="1">
        <v>1570</v>
      </c>
      <c r="I79" s="1">
        <v>4082</v>
      </c>
      <c r="J79" s="1">
        <v>2600</v>
      </c>
    </row>
    <row r="80" spans="1:10" x14ac:dyDescent="0.3">
      <c r="A80" t="s">
        <v>121</v>
      </c>
      <c r="B80" t="s">
        <v>7</v>
      </c>
      <c r="C80" t="s">
        <v>193</v>
      </c>
      <c r="D80" t="s">
        <v>51</v>
      </c>
      <c r="E80">
        <v>86</v>
      </c>
      <c r="F80">
        <v>56</v>
      </c>
      <c r="G80" s="1">
        <v>4200</v>
      </c>
      <c r="H80" s="1">
        <v>4200</v>
      </c>
      <c r="I80" s="1">
        <v>11760</v>
      </c>
      <c r="J80" s="1">
        <v>2800</v>
      </c>
    </row>
    <row r="81" spans="1:10" x14ac:dyDescent="0.3">
      <c r="A81" t="s">
        <v>121</v>
      </c>
      <c r="B81" t="s">
        <v>6</v>
      </c>
      <c r="C81" t="s">
        <v>193</v>
      </c>
      <c r="D81" t="s">
        <v>51</v>
      </c>
      <c r="E81">
        <v>86</v>
      </c>
      <c r="F81">
        <v>56</v>
      </c>
      <c r="G81" s="1">
        <v>5200</v>
      </c>
      <c r="H81" s="1">
        <v>5200</v>
      </c>
      <c r="I81" s="1">
        <v>15600</v>
      </c>
      <c r="J81" s="1">
        <v>3000</v>
      </c>
    </row>
    <row r="82" spans="1:10" x14ac:dyDescent="0.3">
      <c r="A82" t="s">
        <v>121</v>
      </c>
      <c r="B82" t="s">
        <v>5</v>
      </c>
      <c r="C82" t="s">
        <v>193</v>
      </c>
      <c r="D82" t="s">
        <v>51</v>
      </c>
      <c r="E82">
        <v>86</v>
      </c>
      <c r="F82">
        <v>56</v>
      </c>
      <c r="G82" s="1">
        <v>3900</v>
      </c>
      <c r="H82" s="1">
        <v>3630</v>
      </c>
      <c r="I82" s="1">
        <v>6534</v>
      </c>
      <c r="J82" s="1">
        <v>1800</v>
      </c>
    </row>
    <row r="83" spans="1:10" x14ac:dyDescent="0.3">
      <c r="A83" t="s">
        <v>121</v>
      </c>
      <c r="B83" t="s">
        <v>4</v>
      </c>
      <c r="C83" t="s">
        <v>193</v>
      </c>
      <c r="D83" t="s">
        <v>51</v>
      </c>
      <c r="E83">
        <v>86</v>
      </c>
      <c r="F83">
        <v>56</v>
      </c>
      <c r="G83" s="1">
        <v>5600</v>
      </c>
      <c r="H83" s="1">
        <v>5550</v>
      </c>
      <c r="I83" s="1">
        <v>14985</v>
      </c>
      <c r="J83" s="1">
        <v>2700</v>
      </c>
    </row>
    <row r="84" spans="1:10" x14ac:dyDescent="0.3">
      <c r="A84" t="s">
        <v>121</v>
      </c>
      <c r="B84" t="s">
        <v>3</v>
      </c>
      <c r="C84" t="s">
        <v>193</v>
      </c>
      <c r="D84" t="s">
        <v>51</v>
      </c>
      <c r="E84">
        <v>86</v>
      </c>
      <c r="F84">
        <v>56</v>
      </c>
      <c r="G84" s="1">
        <v>5100</v>
      </c>
      <c r="H84" s="1">
        <v>4830</v>
      </c>
      <c r="I84" s="1">
        <v>9177</v>
      </c>
      <c r="J84" s="1">
        <v>1900</v>
      </c>
    </row>
    <row r="85" spans="1:10" x14ac:dyDescent="0.3">
      <c r="A85" t="s">
        <v>121</v>
      </c>
      <c r="B85" t="s">
        <v>18</v>
      </c>
      <c r="C85" t="s">
        <v>193</v>
      </c>
      <c r="D85" t="s">
        <v>38</v>
      </c>
      <c r="E85">
        <v>86</v>
      </c>
      <c r="F85">
        <v>70</v>
      </c>
      <c r="G85" s="1">
        <v>6000</v>
      </c>
      <c r="H85" s="1">
        <v>6000</v>
      </c>
      <c r="I85" s="1">
        <v>15000</v>
      </c>
      <c r="J85" s="1">
        <v>2500</v>
      </c>
    </row>
    <row r="86" spans="1:10" x14ac:dyDescent="0.3">
      <c r="A86" t="s">
        <v>121</v>
      </c>
      <c r="B86" t="s">
        <v>17</v>
      </c>
      <c r="C86" t="s">
        <v>193</v>
      </c>
      <c r="D86" t="s">
        <v>38</v>
      </c>
      <c r="E86">
        <v>86</v>
      </c>
      <c r="F86">
        <v>70</v>
      </c>
      <c r="G86" s="1">
        <v>5000</v>
      </c>
      <c r="H86" s="1">
        <v>5000</v>
      </c>
      <c r="I86" s="1">
        <v>13000</v>
      </c>
      <c r="J86" s="1">
        <v>2600</v>
      </c>
    </row>
    <row r="87" spans="1:10" x14ac:dyDescent="0.3">
      <c r="A87" t="s">
        <v>121</v>
      </c>
      <c r="B87" t="s">
        <v>14</v>
      </c>
      <c r="C87" t="s">
        <v>193</v>
      </c>
      <c r="D87" t="s">
        <v>38</v>
      </c>
      <c r="E87">
        <v>86</v>
      </c>
      <c r="F87">
        <v>70</v>
      </c>
      <c r="G87" s="1">
        <v>4000</v>
      </c>
      <c r="H87" s="1">
        <v>4000</v>
      </c>
      <c r="I87" s="1">
        <v>11200</v>
      </c>
      <c r="J87" s="1">
        <v>2800</v>
      </c>
    </row>
    <row r="88" spans="1:10" x14ac:dyDescent="0.3">
      <c r="A88" t="s">
        <v>121</v>
      </c>
      <c r="B88" t="s">
        <v>12</v>
      </c>
      <c r="C88" t="s">
        <v>193</v>
      </c>
      <c r="D88" t="s">
        <v>38</v>
      </c>
      <c r="E88">
        <v>86</v>
      </c>
      <c r="F88">
        <v>70</v>
      </c>
      <c r="G88" s="1">
        <v>5000</v>
      </c>
      <c r="H88" s="1">
        <v>5000</v>
      </c>
      <c r="I88" s="1">
        <v>17500</v>
      </c>
      <c r="J88" s="1">
        <v>3500</v>
      </c>
    </row>
    <row r="89" spans="1:10" x14ac:dyDescent="0.3">
      <c r="A89" t="s">
        <v>121</v>
      </c>
      <c r="B89" t="s">
        <v>9</v>
      </c>
      <c r="C89" t="s">
        <v>193</v>
      </c>
      <c r="D89" t="s">
        <v>38</v>
      </c>
      <c r="E89">
        <v>86</v>
      </c>
      <c r="F89">
        <v>70</v>
      </c>
      <c r="G89" s="1">
        <v>6000</v>
      </c>
      <c r="H89" s="1">
        <v>5200</v>
      </c>
      <c r="I89" s="1">
        <v>15600</v>
      </c>
      <c r="J89" s="1">
        <v>3000</v>
      </c>
    </row>
    <row r="90" spans="1:10" x14ac:dyDescent="0.3">
      <c r="A90" t="s">
        <v>121</v>
      </c>
      <c r="B90" t="s">
        <v>8</v>
      </c>
      <c r="C90" t="s">
        <v>193</v>
      </c>
      <c r="D90" t="s">
        <v>38</v>
      </c>
      <c r="E90">
        <v>86</v>
      </c>
      <c r="F90">
        <v>70</v>
      </c>
      <c r="G90" s="1">
        <v>6000</v>
      </c>
      <c r="H90" s="1">
        <v>6000</v>
      </c>
      <c r="I90" s="1">
        <v>18000</v>
      </c>
      <c r="J90" s="1">
        <v>3000</v>
      </c>
    </row>
    <row r="91" spans="1:10" x14ac:dyDescent="0.3">
      <c r="A91" t="s">
        <v>121</v>
      </c>
      <c r="B91" t="s">
        <v>7</v>
      </c>
      <c r="C91" t="s">
        <v>193</v>
      </c>
      <c r="D91" t="s">
        <v>38</v>
      </c>
      <c r="E91">
        <v>86</v>
      </c>
      <c r="F91">
        <v>70</v>
      </c>
      <c r="G91" s="1">
        <v>6000</v>
      </c>
      <c r="H91" s="1">
        <v>6000</v>
      </c>
      <c r="I91" s="1">
        <v>16800</v>
      </c>
      <c r="J91" s="1">
        <v>2800</v>
      </c>
    </row>
    <row r="92" spans="1:10" x14ac:dyDescent="0.3">
      <c r="A92" t="s">
        <v>121</v>
      </c>
      <c r="B92" t="s">
        <v>6</v>
      </c>
      <c r="C92" t="s">
        <v>193</v>
      </c>
      <c r="D92" t="s">
        <v>38</v>
      </c>
      <c r="E92">
        <v>86</v>
      </c>
      <c r="F92">
        <v>70</v>
      </c>
      <c r="G92" s="1">
        <v>6000</v>
      </c>
      <c r="H92" s="1">
        <v>6000</v>
      </c>
      <c r="I92" s="1">
        <v>12000</v>
      </c>
      <c r="J92" s="1">
        <v>2000</v>
      </c>
    </row>
    <row r="93" spans="1:10" x14ac:dyDescent="0.3">
      <c r="A93" t="s">
        <v>121</v>
      </c>
      <c r="B93" t="s">
        <v>5</v>
      </c>
      <c r="C93" t="s">
        <v>193</v>
      </c>
      <c r="D93" t="s">
        <v>38</v>
      </c>
      <c r="E93">
        <v>86</v>
      </c>
      <c r="F93">
        <v>70</v>
      </c>
      <c r="G93" s="1">
        <v>6000</v>
      </c>
      <c r="H93" s="1">
        <v>6000</v>
      </c>
      <c r="I93" s="1">
        <v>12000</v>
      </c>
      <c r="J93" s="1">
        <v>2000</v>
      </c>
    </row>
    <row r="94" spans="1:10" x14ac:dyDescent="0.3">
      <c r="A94" t="s">
        <v>121</v>
      </c>
      <c r="B94" t="s">
        <v>4</v>
      </c>
      <c r="C94" t="s">
        <v>193</v>
      </c>
      <c r="D94" t="s">
        <v>38</v>
      </c>
      <c r="E94">
        <v>86</v>
      </c>
      <c r="F94">
        <v>70</v>
      </c>
      <c r="G94" s="1">
        <v>6000</v>
      </c>
      <c r="H94" s="1">
        <v>6000</v>
      </c>
      <c r="I94" s="1">
        <v>18000</v>
      </c>
      <c r="J94" s="1">
        <v>3000</v>
      </c>
    </row>
    <row r="95" spans="1:10" x14ac:dyDescent="0.3">
      <c r="A95" t="s">
        <v>121</v>
      </c>
      <c r="B95" t="s">
        <v>3</v>
      </c>
      <c r="C95" t="s">
        <v>193</v>
      </c>
      <c r="D95" t="s">
        <v>38</v>
      </c>
      <c r="E95">
        <v>86</v>
      </c>
      <c r="F95">
        <v>70</v>
      </c>
      <c r="G95" s="1">
        <v>6000</v>
      </c>
      <c r="H95" s="1">
        <v>5955</v>
      </c>
      <c r="I95" s="1">
        <v>13101</v>
      </c>
      <c r="J95" s="1">
        <v>2200</v>
      </c>
    </row>
    <row r="96" spans="1:10" x14ac:dyDescent="0.3">
      <c r="A96" t="s">
        <v>121</v>
      </c>
      <c r="B96" t="s">
        <v>18</v>
      </c>
      <c r="C96" t="s">
        <v>193</v>
      </c>
      <c r="D96" t="s">
        <v>75</v>
      </c>
      <c r="E96">
        <v>86</v>
      </c>
      <c r="F96">
        <v>77</v>
      </c>
      <c r="G96" s="1">
        <v>5000</v>
      </c>
      <c r="H96" s="1">
        <v>4000</v>
      </c>
      <c r="I96" s="1">
        <v>8800</v>
      </c>
      <c r="J96" s="1">
        <v>2200</v>
      </c>
    </row>
    <row r="97" spans="1:10" x14ac:dyDescent="0.3">
      <c r="A97" t="s">
        <v>121</v>
      </c>
      <c r="B97" t="s">
        <v>17</v>
      </c>
      <c r="C97" t="s">
        <v>193</v>
      </c>
      <c r="D97" t="s">
        <v>75</v>
      </c>
      <c r="E97">
        <v>86</v>
      </c>
      <c r="F97">
        <v>77</v>
      </c>
      <c r="G97" s="1">
        <v>5000</v>
      </c>
      <c r="H97" s="1">
        <v>4700</v>
      </c>
      <c r="I97" s="1">
        <v>7520</v>
      </c>
      <c r="J97" s="1">
        <v>1600</v>
      </c>
    </row>
    <row r="98" spans="1:10" x14ac:dyDescent="0.3">
      <c r="A98" t="s">
        <v>121</v>
      </c>
      <c r="B98" t="s">
        <v>14</v>
      </c>
      <c r="C98" t="s">
        <v>193</v>
      </c>
      <c r="D98" t="s">
        <v>75</v>
      </c>
      <c r="E98">
        <v>86</v>
      </c>
      <c r="F98">
        <v>77</v>
      </c>
      <c r="G98" s="1">
        <v>2190</v>
      </c>
      <c r="H98" s="1">
        <v>2130</v>
      </c>
      <c r="I98" s="1">
        <v>5964</v>
      </c>
      <c r="J98" s="1">
        <v>2800</v>
      </c>
    </row>
    <row r="99" spans="1:10" x14ac:dyDescent="0.3">
      <c r="A99" t="s">
        <v>121</v>
      </c>
      <c r="B99" t="s">
        <v>12</v>
      </c>
      <c r="C99" t="s">
        <v>193</v>
      </c>
      <c r="D99" t="s">
        <v>75</v>
      </c>
      <c r="E99">
        <v>86</v>
      </c>
      <c r="F99">
        <v>77</v>
      </c>
      <c r="G99" s="1">
        <v>3200</v>
      </c>
      <c r="H99" s="1">
        <v>3060</v>
      </c>
      <c r="I99" s="1">
        <v>7956</v>
      </c>
      <c r="J99" s="1">
        <v>2600</v>
      </c>
    </row>
    <row r="100" spans="1:10" x14ac:dyDescent="0.3">
      <c r="A100" t="s">
        <v>121</v>
      </c>
      <c r="B100" t="s">
        <v>9</v>
      </c>
      <c r="C100" t="s">
        <v>193</v>
      </c>
      <c r="D100" t="s">
        <v>75</v>
      </c>
      <c r="E100">
        <v>86</v>
      </c>
      <c r="F100">
        <v>77</v>
      </c>
      <c r="G100" s="1">
        <v>11115</v>
      </c>
      <c r="H100" s="1">
        <v>7135</v>
      </c>
      <c r="I100" s="1">
        <v>23546</v>
      </c>
      <c r="J100" s="1">
        <v>3300</v>
      </c>
    </row>
    <row r="101" spans="1:10" x14ac:dyDescent="0.3">
      <c r="A101" t="s">
        <v>121</v>
      </c>
      <c r="B101" t="s">
        <v>8</v>
      </c>
      <c r="C101" t="s">
        <v>193</v>
      </c>
      <c r="D101" t="s">
        <v>75</v>
      </c>
      <c r="E101">
        <v>86</v>
      </c>
      <c r="F101">
        <v>77</v>
      </c>
      <c r="G101" s="1">
        <v>11400</v>
      </c>
      <c r="H101" s="1">
        <v>10770</v>
      </c>
      <c r="I101" s="1">
        <v>33387</v>
      </c>
      <c r="J101" s="1">
        <v>3100</v>
      </c>
    </row>
    <row r="102" spans="1:10" x14ac:dyDescent="0.3">
      <c r="A102" t="s">
        <v>121</v>
      </c>
      <c r="B102" t="s">
        <v>7</v>
      </c>
      <c r="C102" t="s">
        <v>193</v>
      </c>
      <c r="D102" t="s">
        <v>75</v>
      </c>
      <c r="E102">
        <v>86</v>
      </c>
      <c r="F102">
        <v>77</v>
      </c>
      <c r="G102" s="1">
        <v>6800</v>
      </c>
      <c r="H102" s="1">
        <v>6310</v>
      </c>
      <c r="I102" s="1">
        <v>18930</v>
      </c>
      <c r="J102" s="1">
        <v>3000</v>
      </c>
    </row>
    <row r="103" spans="1:10" x14ac:dyDescent="0.3">
      <c r="A103" t="s">
        <v>121</v>
      </c>
      <c r="B103" t="s">
        <v>6</v>
      </c>
      <c r="C103" t="s">
        <v>193</v>
      </c>
      <c r="D103" t="s">
        <v>75</v>
      </c>
      <c r="E103">
        <v>86</v>
      </c>
      <c r="F103">
        <v>77</v>
      </c>
      <c r="G103" s="1">
        <v>12700</v>
      </c>
      <c r="H103" s="1">
        <v>12530</v>
      </c>
      <c r="I103" s="1">
        <v>41349</v>
      </c>
      <c r="J103" s="1">
        <v>3300</v>
      </c>
    </row>
    <row r="104" spans="1:10" x14ac:dyDescent="0.3">
      <c r="A104" t="s">
        <v>121</v>
      </c>
      <c r="B104" t="s">
        <v>5</v>
      </c>
      <c r="C104" t="s">
        <v>193</v>
      </c>
      <c r="D104" t="s">
        <v>75</v>
      </c>
      <c r="E104">
        <v>86</v>
      </c>
      <c r="F104">
        <v>77</v>
      </c>
      <c r="G104" s="1">
        <v>6600</v>
      </c>
      <c r="H104" s="1">
        <v>5470</v>
      </c>
      <c r="I104" s="1">
        <v>10940</v>
      </c>
      <c r="J104" s="1">
        <v>2000</v>
      </c>
    </row>
    <row r="105" spans="1:10" x14ac:dyDescent="0.3">
      <c r="A105" t="s">
        <v>121</v>
      </c>
      <c r="B105" t="s">
        <v>4</v>
      </c>
      <c r="C105" t="s">
        <v>193</v>
      </c>
      <c r="D105" t="s">
        <v>75</v>
      </c>
      <c r="E105">
        <v>86</v>
      </c>
      <c r="F105">
        <v>77</v>
      </c>
      <c r="G105" s="1">
        <v>8500</v>
      </c>
      <c r="H105" s="1">
        <v>8460</v>
      </c>
      <c r="I105" s="1">
        <v>21996</v>
      </c>
      <c r="J105" s="1">
        <v>2600</v>
      </c>
    </row>
    <row r="106" spans="1:10" x14ac:dyDescent="0.3">
      <c r="A106" t="s">
        <v>121</v>
      </c>
      <c r="B106" t="s">
        <v>3</v>
      </c>
      <c r="C106" t="s">
        <v>193</v>
      </c>
      <c r="D106" t="s">
        <v>75</v>
      </c>
      <c r="E106">
        <v>86</v>
      </c>
      <c r="F106">
        <v>77</v>
      </c>
      <c r="G106" s="1">
        <v>11800</v>
      </c>
      <c r="H106" s="1">
        <v>11440</v>
      </c>
      <c r="I106" s="1">
        <v>32032</v>
      </c>
      <c r="J106" s="1">
        <v>2800</v>
      </c>
    </row>
    <row r="107" spans="1:10" x14ac:dyDescent="0.3">
      <c r="A107" t="s">
        <v>121</v>
      </c>
      <c r="B107" t="s">
        <v>17</v>
      </c>
      <c r="C107" t="s">
        <v>193</v>
      </c>
      <c r="D107" t="s">
        <v>54</v>
      </c>
      <c r="E107">
        <v>86</v>
      </c>
      <c r="F107">
        <v>84</v>
      </c>
      <c r="G107" s="1">
        <v>200</v>
      </c>
      <c r="H107" s="1">
        <v>200</v>
      </c>
      <c r="I107" s="1">
        <v>400</v>
      </c>
      <c r="J107" s="1">
        <v>2000</v>
      </c>
    </row>
    <row r="108" spans="1:10" x14ac:dyDescent="0.3">
      <c r="A108" t="s">
        <v>121</v>
      </c>
      <c r="B108" t="s">
        <v>14</v>
      </c>
      <c r="C108" t="s">
        <v>193</v>
      </c>
      <c r="D108" t="s">
        <v>54</v>
      </c>
      <c r="E108">
        <v>86</v>
      </c>
      <c r="F108">
        <v>84</v>
      </c>
      <c r="G108" s="1">
        <v>300</v>
      </c>
      <c r="H108" s="1">
        <v>300</v>
      </c>
      <c r="I108" s="1">
        <v>840</v>
      </c>
      <c r="J108" s="1">
        <v>2800</v>
      </c>
    </row>
    <row r="109" spans="1:10" x14ac:dyDescent="0.3">
      <c r="A109" t="s">
        <v>121</v>
      </c>
      <c r="B109" t="s">
        <v>12</v>
      </c>
      <c r="C109" t="s">
        <v>193</v>
      </c>
      <c r="D109" t="s">
        <v>54</v>
      </c>
      <c r="E109">
        <v>86</v>
      </c>
      <c r="F109">
        <v>84</v>
      </c>
      <c r="G109" s="1">
        <v>300</v>
      </c>
      <c r="H109" s="1">
        <v>300</v>
      </c>
      <c r="I109" s="1">
        <v>900</v>
      </c>
      <c r="J109" s="1">
        <v>3000</v>
      </c>
    </row>
    <row r="110" spans="1:10" x14ac:dyDescent="0.3">
      <c r="A110" t="s">
        <v>121</v>
      </c>
      <c r="B110" t="s">
        <v>5</v>
      </c>
      <c r="C110" t="s">
        <v>193</v>
      </c>
      <c r="D110" t="s">
        <v>54</v>
      </c>
      <c r="E110">
        <v>86</v>
      </c>
      <c r="F110">
        <v>84</v>
      </c>
      <c r="G110" s="1">
        <v>700</v>
      </c>
      <c r="H110" s="1">
        <v>700</v>
      </c>
      <c r="I110" s="1">
        <v>1400</v>
      </c>
      <c r="J110" s="1">
        <v>2000</v>
      </c>
    </row>
    <row r="111" spans="1:10" x14ac:dyDescent="0.3">
      <c r="A111" t="s">
        <v>121</v>
      </c>
      <c r="B111" t="s">
        <v>4</v>
      </c>
      <c r="C111" t="s">
        <v>193</v>
      </c>
      <c r="D111" t="s">
        <v>54</v>
      </c>
      <c r="E111">
        <v>86</v>
      </c>
      <c r="F111">
        <v>84</v>
      </c>
      <c r="G111" s="1">
        <v>1000</v>
      </c>
      <c r="H111" s="1">
        <v>990</v>
      </c>
      <c r="I111" s="1">
        <v>2475</v>
      </c>
      <c r="J111" s="1">
        <v>2500</v>
      </c>
    </row>
    <row r="112" spans="1:10" x14ac:dyDescent="0.3">
      <c r="A112" t="s">
        <v>121</v>
      </c>
      <c r="B112" t="s">
        <v>17</v>
      </c>
      <c r="C112" t="s">
        <v>193</v>
      </c>
      <c r="D112" t="s">
        <v>70</v>
      </c>
      <c r="E112">
        <v>86</v>
      </c>
      <c r="F112">
        <v>91</v>
      </c>
      <c r="G112" s="1">
        <v>500</v>
      </c>
      <c r="H112" s="1">
        <v>500</v>
      </c>
      <c r="I112" s="1">
        <v>1000</v>
      </c>
      <c r="J112" s="1">
        <v>2000</v>
      </c>
    </row>
    <row r="113" spans="1:10" x14ac:dyDescent="0.3">
      <c r="A113" t="s">
        <v>121</v>
      </c>
      <c r="B113" t="s">
        <v>8</v>
      </c>
      <c r="C113" t="s">
        <v>193</v>
      </c>
      <c r="D113" t="s">
        <v>70</v>
      </c>
      <c r="E113">
        <v>86</v>
      </c>
      <c r="F113">
        <v>91</v>
      </c>
      <c r="G113" s="1">
        <v>500</v>
      </c>
      <c r="H113" s="1">
        <v>500</v>
      </c>
      <c r="I113" s="1">
        <v>1500</v>
      </c>
      <c r="J113" s="1">
        <v>3000</v>
      </c>
    </row>
    <row r="114" spans="1:10" x14ac:dyDescent="0.3">
      <c r="A114" t="s">
        <v>121</v>
      </c>
      <c r="B114" t="s">
        <v>7</v>
      </c>
      <c r="C114" t="s">
        <v>193</v>
      </c>
      <c r="D114" t="s">
        <v>70</v>
      </c>
      <c r="E114">
        <v>86</v>
      </c>
      <c r="F114">
        <v>91</v>
      </c>
      <c r="G114" s="1">
        <v>500</v>
      </c>
      <c r="H114" s="1">
        <v>0</v>
      </c>
      <c r="I114" s="1">
        <v>0</v>
      </c>
      <c r="J114" s="1">
        <v>0</v>
      </c>
    </row>
    <row r="115" spans="1:10" x14ac:dyDescent="0.3">
      <c r="A115" t="s">
        <v>121</v>
      </c>
      <c r="B115" t="s">
        <v>6</v>
      </c>
      <c r="C115" t="s">
        <v>193</v>
      </c>
      <c r="D115" t="s">
        <v>70</v>
      </c>
      <c r="E115">
        <v>86</v>
      </c>
      <c r="F115">
        <v>91</v>
      </c>
      <c r="G115" s="1">
        <v>1000</v>
      </c>
      <c r="H115" s="1">
        <v>1000</v>
      </c>
      <c r="I115" s="1">
        <v>2500</v>
      </c>
      <c r="J115" s="1">
        <v>2500</v>
      </c>
    </row>
    <row r="116" spans="1:10" x14ac:dyDescent="0.3">
      <c r="A116" t="s">
        <v>121</v>
      </c>
      <c r="B116" t="s">
        <v>5</v>
      </c>
      <c r="C116" t="s">
        <v>193</v>
      </c>
      <c r="D116" t="s">
        <v>70</v>
      </c>
      <c r="E116">
        <v>86</v>
      </c>
      <c r="F116">
        <v>91</v>
      </c>
      <c r="G116" s="1">
        <v>1000</v>
      </c>
      <c r="H116" s="1">
        <v>1000</v>
      </c>
      <c r="I116" s="1">
        <v>1800</v>
      </c>
      <c r="J116" s="1">
        <v>1800</v>
      </c>
    </row>
    <row r="117" spans="1:10" x14ac:dyDescent="0.3">
      <c r="A117" t="s">
        <v>121</v>
      </c>
      <c r="B117" t="s">
        <v>4</v>
      </c>
      <c r="C117" t="s">
        <v>193</v>
      </c>
      <c r="D117" t="s">
        <v>70</v>
      </c>
      <c r="E117">
        <v>86</v>
      </c>
      <c r="F117">
        <v>91</v>
      </c>
      <c r="G117" s="1">
        <v>500</v>
      </c>
      <c r="H117" s="1">
        <v>490</v>
      </c>
      <c r="I117" s="1">
        <v>980</v>
      </c>
      <c r="J117" s="1">
        <v>2000</v>
      </c>
    </row>
    <row r="118" spans="1:10" x14ac:dyDescent="0.3">
      <c r="A118" t="s">
        <v>121</v>
      </c>
      <c r="B118" t="s">
        <v>3</v>
      </c>
      <c r="C118" t="s">
        <v>193</v>
      </c>
      <c r="D118" t="s">
        <v>70</v>
      </c>
      <c r="E118">
        <v>86</v>
      </c>
      <c r="F118">
        <v>91</v>
      </c>
      <c r="G118" s="1">
        <v>1000</v>
      </c>
      <c r="H118" s="1">
        <v>980</v>
      </c>
      <c r="I118" s="1">
        <v>2058</v>
      </c>
      <c r="J118" s="1">
        <v>2100</v>
      </c>
    </row>
    <row r="119" spans="1:10" x14ac:dyDescent="0.3">
      <c r="A119" t="s">
        <v>121</v>
      </c>
      <c r="B119" t="s">
        <v>18</v>
      </c>
      <c r="C119" t="s">
        <v>193</v>
      </c>
      <c r="D119" t="s">
        <v>69</v>
      </c>
      <c r="E119">
        <v>86</v>
      </c>
      <c r="F119">
        <v>98</v>
      </c>
      <c r="G119" s="1">
        <v>12000</v>
      </c>
      <c r="H119" s="1">
        <v>12000</v>
      </c>
      <c r="I119" s="1">
        <v>28800</v>
      </c>
      <c r="J119" s="1">
        <v>2400</v>
      </c>
    </row>
    <row r="120" spans="1:10" x14ac:dyDescent="0.3">
      <c r="A120" t="s">
        <v>121</v>
      </c>
      <c r="B120" t="s">
        <v>17</v>
      </c>
      <c r="C120" t="s">
        <v>193</v>
      </c>
      <c r="D120" t="s">
        <v>69</v>
      </c>
      <c r="E120">
        <v>86</v>
      </c>
      <c r="F120">
        <v>98</v>
      </c>
      <c r="G120" s="1">
        <v>12000</v>
      </c>
      <c r="H120" s="1">
        <v>11000</v>
      </c>
      <c r="I120" s="1">
        <v>16500</v>
      </c>
      <c r="J120" s="1">
        <v>1500</v>
      </c>
    </row>
    <row r="121" spans="1:10" x14ac:dyDescent="0.3">
      <c r="A121" t="s">
        <v>121</v>
      </c>
      <c r="B121" t="s">
        <v>14</v>
      </c>
      <c r="C121" t="s">
        <v>193</v>
      </c>
      <c r="D121" t="s">
        <v>69</v>
      </c>
      <c r="E121">
        <v>86</v>
      </c>
      <c r="F121">
        <v>98</v>
      </c>
      <c r="G121" s="1">
        <v>8120</v>
      </c>
      <c r="H121" s="1">
        <v>8045</v>
      </c>
      <c r="I121" s="1">
        <v>23331</v>
      </c>
      <c r="J121" s="1">
        <v>2900</v>
      </c>
    </row>
    <row r="122" spans="1:10" x14ac:dyDescent="0.3">
      <c r="A122" t="s">
        <v>121</v>
      </c>
      <c r="B122" t="s">
        <v>12</v>
      </c>
      <c r="C122" t="s">
        <v>193</v>
      </c>
      <c r="D122" t="s">
        <v>69</v>
      </c>
      <c r="E122">
        <v>86</v>
      </c>
      <c r="F122">
        <v>98</v>
      </c>
      <c r="G122" s="1">
        <v>9000</v>
      </c>
      <c r="H122" s="1">
        <v>8790</v>
      </c>
      <c r="I122" s="1">
        <v>23733</v>
      </c>
      <c r="J122" s="1">
        <v>2700</v>
      </c>
    </row>
    <row r="123" spans="1:10" x14ac:dyDescent="0.3">
      <c r="A123" t="s">
        <v>121</v>
      </c>
      <c r="B123" t="s">
        <v>9</v>
      </c>
      <c r="C123" t="s">
        <v>193</v>
      </c>
      <c r="D123" t="s">
        <v>69</v>
      </c>
      <c r="E123">
        <v>86</v>
      </c>
      <c r="F123">
        <v>98</v>
      </c>
      <c r="G123" s="1">
        <v>18915</v>
      </c>
      <c r="H123" s="1">
        <v>18475</v>
      </c>
      <c r="I123" s="1">
        <v>59120</v>
      </c>
      <c r="J123" s="1">
        <v>3200</v>
      </c>
    </row>
    <row r="124" spans="1:10" x14ac:dyDescent="0.3">
      <c r="A124" t="s">
        <v>121</v>
      </c>
      <c r="B124" t="s">
        <v>8</v>
      </c>
      <c r="C124" t="s">
        <v>193</v>
      </c>
      <c r="D124" t="s">
        <v>69</v>
      </c>
      <c r="E124">
        <v>86</v>
      </c>
      <c r="F124">
        <v>98</v>
      </c>
      <c r="G124" s="1">
        <v>20300</v>
      </c>
      <c r="H124" s="1">
        <v>19870</v>
      </c>
      <c r="I124" s="1">
        <v>63584</v>
      </c>
      <c r="J124" s="1">
        <v>3200</v>
      </c>
    </row>
    <row r="125" spans="1:10" x14ac:dyDescent="0.3">
      <c r="A125" t="s">
        <v>121</v>
      </c>
      <c r="B125" t="s">
        <v>7</v>
      </c>
      <c r="C125" t="s">
        <v>193</v>
      </c>
      <c r="D125" t="s">
        <v>69</v>
      </c>
      <c r="E125">
        <v>86</v>
      </c>
      <c r="F125">
        <v>98</v>
      </c>
      <c r="G125" s="1">
        <v>18500</v>
      </c>
      <c r="H125" s="1">
        <v>17570</v>
      </c>
      <c r="I125" s="1">
        <v>56224</v>
      </c>
      <c r="J125" s="1">
        <v>3200</v>
      </c>
    </row>
    <row r="126" spans="1:10" x14ac:dyDescent="0.3">
      <c r="A126" t="s">
        <v>121</v>
      </c>
      <c r="B126" t="s">
        <v>6</v>
      </c>
      <c r="C126" t="s">
        <v>193</v>
      </c>
      <c r="D126" t="s">
        <v>69</v>
      </c>
      <c r="E126">
        <v>86</v>
      </c>
      <c r="F126">
        <v>98</v>
      </c>
      <c r="G126" s="1">
        <v>23800</v>
      </c>
      <c r="H126" s="1">
        <v>23760</v>
      </c>
      <c r="I126" s="1">
        <v>76032</v>
      </c>
      <c r="J126" s="1">
        <v>3200</v>
      </c>
    </row>
    <row r="127" spans="1:10" x14ac:dyDescent="0.3">
      <c r="A127" t="s">
        <v>121</v>
      </c>
      <c r="B127" t="s">
        <v>5</v>
      </c>
      <c r="C127" t="s">
        <v>193</v>
      </c>
      <c r="D127" t="s">
        <v>69</v>
      </c>
      <c r="E127">
        <v>86</v>
      </c>
      <c r="F127">
        <v>98</v>
      </c>
      <c r="G127" s="1">
        <v>16650</v>
      </c>
      <c r="H127" s="1">
        <v>15430</v>
      </c>
      <c r="I127" s="1">
        <v>30860</v>
      </c>
      <c r="J127" s="1">
        <v>2000</v>
      </c>
    </row>
    <row r="128" spans="1:10" x14ac:dyDescent="0.3">
      <c r="A128" t="s">
        <v>121</v>
      </c>
      <c r="B128" t="s">
        <v>4</v>
      </c>
      <c r="C128" t="s">
        <v>193</v>
      </c>
      <c r="D128" t="s">
        <v>69</v>
      </c>
      <c r="E128">
        <v>86</v>
      </c>
      <c r="F128">
        <v>98</v>
      </c>
      <c r="G128" s="1">
        <v>20100</v>
      </c>
      <c r="H128" s="1">
        <v>20030</v>
      </c>
      <c r="I128" s="1">
        <v>54081</v>
      </c>
      <c r="J128" s="1">
        <v>2700</v>
      </c>
    </row>
    <row r="129" spans="1:10" x14ac:dyDescent="0.3">
      <c r="A129" t="s">
        <v>121</v>
      </c>
      <c r="B129" t="s">
        <v>3</v>
      </c>
      <c r="C129" t="s">
        <v>193</v>
      </c>
      <c r="D129" t="s">
        <v>69</v>
      </c>
      <c r="E129">
        <v>86</v>
      </c>
      <c r="F129">
        <v>98</v>
      </c>
      <c r="G129" s="1">
        <v>24150</v>
      </c>
      <c r="H129" s="1">
        <v>23120</v>
      </c>
      <c r="I129" s="1">
        <v>46240</v>
      </c>
      <c r="J129" s="1">
        <v>2000</v>
      </c>
    </row>
    <row r="130" spans="1:10" x14ac:dyDescent="0.3">
      <c r="A130" t="s">
        <v>121</v>
      </c>
      <c r="B130" t="s">
        <v>17</v>
      </c>
      <c r="C130" t="s">
        <v>193</v>
      </c>
      <c r="D130" t="s">
        <v>31</v>
      </c>
      <c r="E130">
        <v>86</v>
      </c>
      <c r="F130">
        <v>105</v>
      </c>
      <c r="G130" s="1">
        <v>5000</v>
      </c>
      <c r="H130" s="1">
        <v>5000</v>
      </c>
      <c r="I130" s="1">
        <v>13000</v>
      </c>
      <c r="J130" s="1">
        <v>2600</v>
      </c>
    </row>
    <row r="131" spans="1:10" x14ac:dyDescent="0.3">
      <c r="A131" t="s">
        <v>121</v>
      </c>
      <c r="B131" t="s">
        <v>14</v>
      </c>
      <c r="C131" t="s">
        <v>193</v>
      </c>
      <c r="D131" t="s">
        <v>31</v>
      </c>
      <c r="E131">
        <v>86</v>
      </c>
      <c r="F131">
        <v>105</v>
      </c>
      <c r="G131" s="1">
        <v>3500</v>
      </c>
      <c r="H131" s="1">
        <v>3500</v>
      </c>
      <c r="I131" s="1">
        <v>10500</v>
      </c>
      <c r="J131" s="1">
        <v>3000</v>
      </c>
    </row>
    <row r="132" spans="1:10" x14ac:dyDescent="0.3">
      <c r="A132" t="s">
        <v>121</v>
      </c>
      <c r="B132" t="s">
        <v>12</v>
      </c>
      <c r="C132" t="s">
        <v>193</v>
      </c>
      <c r="D132" t="s">
        <v>31</v>
      </c>
      <c r="E132">
        <v>86</v>
      </c>
      <c r="F132">
        <v>105</v>
      </c>
      <c r="G132" s="1">
        <v>4000</v>
      </c>
      <c r="H132" s="1">
        <v>4000</v>
      </c>
      <c r="I132" s="1">
        <v>12000</v>
      </c>
      <c r="J132" s="1">
        <v>3000</v>
      </c>
    </row>
    <row r="133" spans="1:10" x14ac:dyDescent="0.3">
      <c r="A133" t="s">
        <v>121</v>
      </c>
      <c r="B133" t="s">
        <v>9</v>
      </c>
      <c r="C133" t="s">
        <v>193</v>
      </c>
      <c r="D133" t="s">
        <v>31</v>
      </c>
      <c r="E133">
        <v>86</v>
      </c>
      <c r="F133">
        <v>105</v>
      </c>
      <c r="G133" s="1">
        <v>4000</v>
      </c>
      <c r="H133" s="1">
        <v>4000</v>
      </c>
      <c r="I133" s="1">
        <v>12000</v>
      </c>
      <c r="J133" s="1">
        <v>3000</v>
      </c>
    </row>
    <row r="134" spans="1:10" x14ac:dyDescent="0.3">
      <c r="A134" t="s">
        <v>121</v>
      </c>
      <c r="B134" t="s">
        <v>8</v>
      </c>
      <c r="C134" t="s">
        <v>193</v>
      </c>
      <c r="D134" t="s">
        <v>31</v>
      </c>
      <c r="E134">
        <v>86</v>
      </c>
      <c r="F134">
        <v>105</v>
      </c>
      <c r="G134" s="1">
        <v>4000</v>
      </c>
      <c r="H134" s="1">
        <v>4000</v>
      </c>
      <c r="I134" s="1">
        <v>12000</v>
      </c>
      <c r="J134" s="1">
        <v>3000</v>
      </c>
    </row>
    <row r="135" spans="1:10" x14ac:dyDescent="0.3">
      <c r="A135" t="s">
        <v>121</v>
      </c>
      <c r="B135" t="s">
        <v>7</v>
      </c>
      <c r="C135" t="s">
        <v>193</v>
      </c>
      <c r="D135" t="s">
        <v>31</v>
      </c>
      <c r="E135">
        <v>86</v>
      </c>
      <c r="F135">
        <v>105</v>
      </c>
      <c r="G135" s="1">
        <v>4000</v>
      </c>
      <c r="H135" s="1">
        <v>4000</v>
      </c>
      <c r="I135" s="1">
        <v>12000</v>
      </c>
      <c r="J135" s="1">
        <v>3000</v>
      </c>
    </row>
    <row r="136" spans="1:10" x14ac:dyDescent="0.3">
      <c r="A136" t="s">
        <v>121</v>
      </c>
      <c r="B136" t="s">
        <v>6</v>
      </c>
      <c r="C136" t="s">
        <v>193</v>
      </c>
      <c r="D136" t="s">
        <v>31</v>
      </c>
      <c r="E136">
        <v>86</v>
      </c>
      <c r="F136">
        <v>105</v>
      </c>
      <c r="G136" s="1">
        <v>4000</v>
      </c>
      <c r="H136" s="1">
        <v>4000</v>
      </c>
      <c r="I136" s="1">
        <v>10000</v>
      </c>
      <c r="J136" s="1">
        <v>2500</v>
      </c>
    </row>
    <row r="137" spans="1:10" x14ac:dyDescent="0.3">
      <c r="A137" t="s">
        <v>121</v>
      </c>
      <c r="B137" t="s">
        <v>5</v>
      </c>
      <c r="C137" t="s">
        <v>193</v>
      </c>
      <c r="D137" t="s">
        <v>31</v>
      </c>
      <c r="E137">
        <v>86</v>
      </c>
      <c r="F137">
        <v>105</v>
      </c>
      <c r="G137" s="1">
        <v>4000</v>
      </c>
      <c r="H137" s="1">
        <v>4000</v>
      </c>
      <c r="I137" s="1">
        <v>8000</v>
      </c>
      <c r="J137" s="1">
        <v>2000</v>
      </c>
    </row>
    <row r="138" spans="1:10" x14ac:dyDescent="0.3">
      <c r="A138" t="s">
        <v>121</v>
      </c>
      <c r="B138" t="s">
        <v>4</v>
      </c>
      <c r="C138" t="s">
        <v>193</v>
      </c>
      <c r="D138" t="s">
        <v>31</v>
      </c>
      <c r="E138">
        <v>86</v>
      </c>
      <c r="F138">
        <v>105</v>
      </c>
      <c r="G138" s="1">
        <v>4000</v>
      </c>
      <c r="H138" s="1">
        <v>3950</v>
      </c>
      <c r="I138" s="1">
        <v>11850</v>
      </c>
      <c r="J138" s="1">
        <v>3000</v>
      </c>
    </row>
    <row r="139" spans="1:10" x14ac:dyDescent="0.3">
      <c r="A139" t="s">
        <v>121</v>
      </c>
      <c r="B139" t="s">
        <v>3</v>
      </c>
      <c r="C139" t="s">
        <v>193</v>
      </c>
      <c r="D139" t="s">
        <v>31</v>
      </c>
      <c r="E139">
        <v>86</v>
      </c>
      <c r="F139">
        <v>105</v>
      </c>
      <c r="G139" s="1">
        <v>4000</v>
      </c>
      <c r="H139" s="1">
        <v>3950</v>
      </c>
      <c r="I139" s="1">
        <v>7900</v>
      </c>
      <c r="J139" s="1">
        <v>2000</v>
      </c>
    </row>
    <row r="140" spans="1:10" x14ac:dyDescent="0.3">
      <c r="A140" t="s">
        <v>121</v>
      </c>
      <c r="B140" t="s">
        <v>18</v>
      </c>
      <c r="C140" t="s">
        <v>193</v>
      </c>
      <c r="D140" t="s">
        <v>56</v>
      </c>
      <c r="E140">
        <v>86</v>
      </c>
      <c r="F140">
        <v>112</v>
      </c>
      <c r="G140" s="1">
        <v>3500</v>
      </c>
      <c r="H140" s="1">
        <v>3500</v>
      </c>
      <c r="I140" s="1">
        <v>9800</v>
      </c>
      <c r="J140" s="1">
        <v>2800</v>
      </c>
    </row>
    <row r="141" spans="1:10" x14ac:dyDescent="0.3">
      <c r="A141" t="s">
        <v>121</v>
      </c>
      <c r="B141" t="s">
        <v>17</v>
      </c>
      <c r="C141" t="s">
        <v>193</v>
      </c>
      <c r="D141" t="s">
        <v>56</v>
      </c>
      <c r="E141">
        <v>86</v>
      </c>
      <c r="F141">
        <v>112</v>
      </c>
      <c r="G141" s="1">
        <v>3000</v>
      </c>
      <c r="H141" s="1">
        <v>3000</v>
      </c>
      <c r="I141" s="1">
        <v>7200</v>
      </c>
      <c r="J141" s="1">
        <v>2400</v>
      </c>
    </row>
    <row r="142" spans="1:10" x14ac:dyDescent="0.3">
      <c r="A142" t="s">
        <v>121</v>
      </c>
      <c r="B142" t="s">
        <v>14</v>
      </c>
      <c r="C142" t="s">
        <v>193</v>
      </c>
      <c r="D142" t="s">
        <v>56</v>
      </c>
      <c r="E142">
        <v>86</v>
      </c>
      <c r="F142">
        <v>112</v>
      </c>
      <c r="G142" s="1">
        <v>2000</v>
      </c>
      <c r="H142" s="1">
        <v>2000</v>
      </c>
      <c r="I142" s="1">
        <v>5600</v>
      </c>
      <c r="J142" s="1">
        <v>2800</v>
      </c>
    </row>
    <row r="143" spans="1:10" x14ac:dyDescent="0.3">
      <c r="A143" t="s">
        <v>121</v>
      </c>
      <c r="B143" t="s">
        <v>12</v>
      </c>
      <c r="C143" t="s">
        <v>193</v>
      </c>
      <c r="D143" t="s">
        <v>56</v>
      </c>
      <c r="E143">
        <v>86</v>
      </c>
      <c r="F143">
        <v>112</v>
      </c>
      <c r="G143" s="1">
        <v>3500</v>
      </c>
      <c r="H143" s="1">
        <v>3500</v>
      </c>
      <c r="I143" s="1">
        <v>5250</v>
      </c>
      <c r="J143" s="1">
        <v>1500</v>
      </c>
    </row>
    <row r="144" spans="1:10" x14ac:dyDescent="0.3">
      <c r="A144" t="s">
        <v>121</v>
      </c>
      <c r="B144" t="s">
        <v>9</v>
      </c>
      <c r="C144" t="s">
        <v>193</v>
      </c>
      <c r="D144" t="s">
        <v>56</v>
      </c>
      <c r="E144">
        <v>86</v>
      </c>
      <c r="F144">
        <v>112</v>
      </c>
      <c r="G144" s="1">
        <v>5000</v>
      </c>
      <c r="H144" s="1">
        <v>5000</v>
      </c>
      <c r="I144" s="1">
        <v>17500</v>
      </c>
      <c r="J144" s="1">
        <v>3500</v>
      </c>
    </row>
    <row r="145" spans="1:10" x14ac:dyDescent="0.3">
      <c r="A145" t="s">
        <v>121</v>
      </c>
      <c r="B145" t="s">
        <v>8</v>
      </c>
      <c r="C145" t="s">
        <v>193</v>
      </c>
      <c r="D145" t="s">
        <v>56</v>
      </c>
      <c r="E145">
        <v>86</v>
      </c>
      <c r="F145">
        <v>112</v>
      </c>
      <c r="G145" s="1">
        <v>5000</v>
      </c>
      <c r="H145" s="1">
        <v>5000</v>
      </c>
      <c r="I145" s="1">
        <v>15000</v>
      </c>
      <c r="J145" s="1">
        <v>3000</v>
      </c>
    </row>
    <row r="146" spans="1:10" x14ac:dyDescent="0.3">
      <c r="A146" t="s">
        <v>121</v>
      </c>
      <c r="B146" t="s">
        <v>7</v>
      </c>
      <c r="C146" t="s">
        <v>193</v>
      </c>
      <c r="D146" t="s">
        <v>56</v>
      </c>
      <c r="E146">
        <v>86</v>
      </c>
      <c r="F146">
        <v>112</v>
      </c>
      <c r="G146" s="1">
        <v>5000</v>
      </c>
      <c r="H146" s="1">
        <v>5000</v>
      </c>
      <c r="I146" s="1">
        <v>15000</v>
      </c>
      <c r="J146" s="1">
        <v>3000</v>
      </c>
    </row>
    <row r="147" spans="1:10" x14ac:dyDescent="0.3">
      <c r="A147" t="s">
        <v>121</v>
      </c>
      <c r="B147" t="s">
        <v>6</v>
      </c>
      <c r="C147" t="s">
        <v>193</v>
      </c>
      <c r="D147" t="s">
        <v>56</v>
      </c>
      <c r="E147">
        <v>86</v>
      </c>
      <c r="F147">
        <v>112</v>
      </c>
      <c r="G147" s="1">
        <v>5000</v>
      </c>
      <c r="H147" s="1">
        <v>5000</v>
      </c>
      <c r="I147" s="1">
        <v>10000</v>
      </c>
      <c r="J147" s="1">
        <v>2000</v>
      </c>
    </row>
    <row r="148" spans="1:10" x14ac:dyDescent="0.3">
      <c r="A148" t="s">
        <v>121</v>
      </c>
      <c r="B148" t="s">
        <v>5</v>
      </c>
      <c r="C148" t="s">
        <v>193</v>
      </c>
      <c r="D148" t="s">
        <v>56</v>
      </c>
      <c r="E148">
        <v>86</v>
      </c>
      <c r="F148">
        <v>112</v>
      </c>
      <c r="G148" s="1">
        <v>5000</v>
      </c>
      <c r="H148" s="1">
        <v>5000</v>
      </c>
      <c r="I148" s="1">
        <v>9000</v>
      </c>
      <c r="J148" s="1">
        <v>1800</v>
      </c>
    </row>
    <row r="149" spans="1:10" x14ac:dyDescent="0.3">
      <c r="A149" t="s">
        <v>121</v>
      </c>
      <c r="B149" t="s">
        <v>4</v>
      </c>
      <c r="C149" t="s">
        <v>193</v>
      </c>
      <c r="D149" t="s">
        <v>56</v>
      </c>
      <c r="E149">
        <v>86</v>
      </c>
      <c r="F149">
        <v>112</v>
      </c>
      <c r="G149" s="1">
        <v>5000</v>
      </c>
      <c r="H149" s="1">
        <v>4950</v>
      </c>
      <c r="I149" s="1">
        <v>12870</v>
      </c>
      <c r="J149" s="1">
        <v>2600</v>
      </c>
    </row>
    <row r="150" spans="1:10" x14ac:dyDescent="0.3">
      <c r="A150" t="s">
        <v>121</v>
      </c>
      <c r="B150" t="s">
        <v>3</v>
      </c>
      <c r="C150" t="s">
        <v>193</v>
      </c>
      <c r="D150" t="s">
        <v>56</v>
      </c>
      <c r="E150">
        <v>86</v>
      </c>
      <c r="F150">
        <v>112</v>
      </c>
      <c r="G150" s="1">
        <v>5000</v>
      </c>
      <c r="H150" s="1">
        <v>4900</v>
      </c>
      <c r="I150" s="1">
        <v>10290</v>
      </c>
      <c r="J150" s="1">
        <v>2100</v>
      </c>
    </row>
    <row r="151" spans="1:10" x14ac:dyDescent="0.3">
      <c r="A151" t="s">
        <v>121</v>
      </c>
      <c r="B151" t="s">
        <v>18</v>
      </c>
      <c r="C151" t="s">
        <v>193</v>
      </c>
      <c r="D151" t="s">
        <v>72</v>
      </c>
      <c r="E151">
        <v>86</v>
      </c>
      <c r="F151">
        <v>119</v>
      </c>
      <c r="G151" s="1">
        <v>40000</v>
      </c>
      <c r="H151" s="1">
        <v>38000</v>
      </c>
      <c r="I151" s="1">
        <v>95000</v>
      </c>
      <c r="J151" s="1">
        <v>2500</v>
      </c>
    </row>
    <row r="152" spans="1:10" x14ac:dyDescent="0.3">
      <c r="A152" t="s">
        <v>121</v>
      </c>
      <c r="B152" t="s">
        <v>17</v>
      </c>
      <c r="C152" t="s">
        <v>193</v>
      </c>
      <c r="D152" t="s">
        <v>72</v>
      </c>
      <c r="E152">
        <v>86</v>
      </c>
      <c r="F152">
        <v>119</v>
      </c>
      <c r="G152" s="1">
        <v>40000</v>
      </c>
      <c r="H152" s="1">
        <v>37000</v>
      </c>
      <c r="I152" s="1">
        <v>74000</v>
      </c>
      <c r="J152" s="1">
        <v>2000</v>
      </c>
    </row>
    <row r="153" spans="1:10" x14ac:dyDescent="0.3">
      <c r="A153" t="s">
        <v>121</v>
      </c>
      <c r="B153" t="s">
        <v>14</v>
      </c>
      <c r="C153" t="s">
        <v>193</v>
      </c>
      <c r="D153" t="s">
        <v>72</v>
      </c>
      <c r="E153">
        <v>86</v>
      </c>
      <c r="F153">
        <v>119</v>
      </c>
      <c r="G153" s="1">
        <v>27790</v>
      </c>
      <c r="H153" s="1">
        <v>27415</v>
      </c>
      <c r="I153" s="1">
        <v>79504</v>
      </c>
      <c r="J153" s="1">
        <v>2900</v>
      </c>
    </row>
    <row r="154" spans="1:10" x14ac:dyDescent="0.3">
      <c r="A154" t="s">
        <v>121</v>
      </c>
      <c r="B154" t="s">
        <v>12</v>
      </c>
      <c r="C154" t="s">
        <v>193</v>
      </c>
      <c r="D154" t="s">
        <v>72</v>
      </c>
      <c r="E154">
        <v>86</v>
      </c>
      <c r="F154">
        <v>119</v>
      </c>
      <c r="G154" s="1">
        <v>34000</v>
      </c>
      <c r="H154" s="1">
        <v>33320</v>
      </c>
      <c r="I154" s="1">
        <v>106624</v>
      </c>
      <c r="J154" s="1">
        <v>3200</v>
      </c>
    </row>
    <row r="155" spans="1:10" x14ac:dyDescent="0.3">
      <c r="A155" t="s">
        <v>121</v>
      </c>
      <c r="B155" t="s">
        <v>9</v>
      </c>
      <c r="C155" t="s">
        <v>193</v>
      </c>
      <c r="D155" t="s">
        <v>72</v>
      </c>
      <c r="E155">
        <v>86</v>
      </c>
      <c r="F155">
        <v>119</v>
      </c>
      <c r="G155" s="1">
        <v>36305</v>
      </c>
      <c r="H155" s="1">
        <v>35575</v>
      </c>
      <c r="I155" s="1">
        <v>117398</v>
      </c>
      <c r="J155" s="1">
        <v>3300</v>
      </c>
    </row>
    <row r="156" spans="1:10" x14ac:dyDescent="0.3">
      <c r="A156" t="s">
        <v>121</v>
      </c>
      <c r="B156" t="s">
        <v>8</v>
      </c>
      <c r="C156" t="s">
        <v>193</v>
      </c>
      <c r="D156" t="s">
        <v>72</v>
      </c>
      <c r="E156">
        <v>86</v>
      </c>
      <c r="F156">
        <v>119</v>
      </c>
      <c r="G156" s="1">
        <v>38850</v>
      </c>
      <c r="H156" s="1">
        <v>38140</v>
      </c>
      <c r="I156" s="1">
        <v>118234</v>
      </c>
      <c r="J156" s="1">
        <v>3100</v>
      </c>
    </row>
    <row r="157" spans="1:10" x14ac:dyDescent="0.3">
      <c r="A157" t="s">
        <v>121</v>
      </c>
      <c r="B157" t="s">
        <v>7</v>
      </c>
      <c r="C157" t="s">
        <v>193</v>
      </c>
      <c r="D157" t="s">
        <v>72</v>
      </c>
      <c r="E157">
        <v>86</v>
      </c>
      <c r="F157">
        <v>119</v>
      </c>
      <c r="G157" s="1">
        <v>28800</v>
      </c>
      <c r="H157" s="1">
        <v>27540</v>
      </c>
      <c r="I157" s="1">
        <v>88128</v>
      </c>
      <c r="J157" s="1">
        <v>3200</v>
      </c>
    </row>
    <row r="158" spans="1:10" x14ac:dyDescent="0.3">
      <c r="A158" t="s">
        <v>121</v>
      </c>
      <c r="B158" t="s">
        <v>6</v>
      </c>
      <c r="C158" t="s">
        <v>193</v>
      </c>
      <c r="D158" t="s">
        <v>72</v>
      </c>
      <c r="E158">
        <v>86</v>
      </c>
      <c r="F158">
        <v>119</v>
      </c>
      <c r="G158" s="1">
        <v>36400</v>
      </c>
      <c r="H158" s="1">
        <v>36180</v>
      </c>
      <c r="I158" s="1">
        <v>115776</v>
      </c>
      <c r="J158" s="1">
        <v>3200</v>
      </c>
    </row>
    <row r="159" spans="1:10" x14ac:dyDescent="0.3">
      <c r="A159" t="s">
        <v>121</v>
      </c>
      <c r="B159" t="s">
        <v>5</v>
      </c>
      <c r="C159" t="s">
        <v>193</v>
      </c>
      <c r="D159" t="s">
        <v>72</v>
      </c>
      <c r="E159">
        <v>86</v>
      </c>
      <c r="F159">
        <v>119</v>
      </c>
      <c r="G159" s="1">
        <v>26400</v>
      </c>
      <c r="H159" s="1">
        <v>25020</v>
      </c>
      <c r="I159" s="1">
        <v>50040</v>
      </c>
      <c r="J159" s="1">
        <v>2000</v>
      </c>
    </row>
    <row r="160" spans="1:10" x14ac:dyDescent="0.3">
      <c r="A160" t="s">
        <v>121</v>
      </c>
      <c r="B160" t="s">
        <v>4</v>
      </c>
      <c r="C160" t="s">
        <v>193</v>
      </c>
      <c r="D160" t="s">
        <v>72</v>
      </c>
      <c r="E160">
        <v>86</v>
      </c>
      <c r="F160">
        <v>119</v>
      </c>
      <c r="G160" s="1">
        <v>41800</v>
      </c>
      <c r="H160" s="1">
        <v>41690</v>
      </c>
      <c r="I160" s="1">
        <v>95887</v>
      </c>
      <c r="J160" s="1">
        <v>2300</v>
      </c>
    </row>
    <row r="161" spans="1:10" x14ac:dyDescent="0.3">
      <c r="A161" t="s">
        <v>121</v>
      </c>
      <c r="B161" t="s">
        <v>3</v>
      </c>
      <c r="C161" t="s">
        <v>193</v>
      </c>
      <c r="D161" t="s">
        <v>72</v>
      </c>
      <c r="E161">
        <v>86</v>
      </c>
      <c r="F161">
        <v>119</v>
      </c>
      <c r="G161" s="1">
        <v>35600</v>
      </c>
      <c r="H161" s="1">
        <v>31140</v>
      </c>
      <c r="I161" s="1">
        <v>49824</v>
      </c>
      <c r="J161" s="1">
        <v>1600</v>
      </c>
    </row>
    <row r="162" spans="1:10" x14ac:dyDescent="0.3">
      <c r="A162" t="s">
        <v>121</v>
      </c>
      <c r="B162" t="s">
        <v>7</v>
      </c>
      <c r="C162" t="s">
        <v>193</v>
      </c>
      <c r="D162" t="s">
        <v>46</v>
      </c>
      <c r="E162">
        <v>86</v>
      </c>
      <c r="F162">
        <v>126</v>
      </c>
      <c r="G162" s="1">
        <v>600</v>
      </c>
      <c r="H162" s="1">
        <v>600</v>
      </c>
      <c r="I162" s="1">
        <v>1500</v>
      </c>
      <c r="J162" s="1">
        <v>2500</v>
      </c>
    </row>
    <row r="163" spans="1:10" x14ac:dyDescent="0.3">
      <c r="A163" t="s">
        <v>121</v>
      </c>
      <c r="B163" t="s">
        <v>7</v>
      </c>
      <c r="C163" t="s">
        <v>193</v>
      </c>
      <c r="D163" t="s">
        <v>68</v>
      </c>
      <c r="E163">
        <v>86</v>
      </c>
      <c r="F163">
        <v>133</v>
      </c>
      <c r="G163" s="1">
        <v>850</v>
      </c>
      <c r="H163" s="1">
        <v>850</v>
      </c>
      <c r="I163" s="1">
        <v>2550</v>
      </c>
      <c r="J163" s="1">
        <v>3000</v>
      </c>
    </row>
    <row r="164" spans="1:10" x14ac:dyDescent="0.3">
      <c r="A164" t="s">
        <v>121</v>
      </c>
      <c r="B164" t="s">
        <v>6</v>
      </c>
      <c r="C164" t="s">
        <v>193</v>
      </c>
      <c r="D164" t="s">
        <v>68</v>
      </c>
      <c r="E164">
        <v>86</v>
      </c>
      <c r="F164">
        <v>133</v>
      </c>
      <c r="G164" s="1">
        <v>1000</v>
      </c>
      <c r="H164" s="1">
        <v>1000</v>
      </c>
      <c r="I164" s="1">
        <v>2200</v>
      </c>
      <c r="J164" s="1">
        <v>2200</v>
      </c>
    </row>
    <row r="165" spans="1:10" x14ac:dyDescent="0.3">
      <c r="A165" t="s">
        <v>121</v>
      </c>
      <c r="B165" t="s">
        <v>5</v>
      </c>
      <c r="C165" t="s">
        <v>193</v>
      </c>
      <c r="D165" t="s">
        <v>68</v>
      </c>
      <c r="E165">
        <v>86</v>
      </c>
      <c r="F165">
        <v>133</v>
      </c>
      <c r="G165" s="1">
        <v>4100</v>
      </c>
      <c r="H165" s="1">
        <v>4100</v>
      </c>
      <c r="I165" s="1">
        <v>7380</v>
      </c>
      <c r="J165" s="1">
        <v>1800</v>
      </c>
    </row>
    <row r="166" spans="1:10" x14ac:dyDescent="0.3">
      <c r="A166" t="s">
        <v>121</v>
      </c>
      <c r="B166" t="s">
        <v>4</v>
      </c>
      <c r="C166" t="s">
        <v>193</v>
      </c>
      <c r="D166" t="s">
        <v>68</v>
      </c>
      <c r="E166">
        <v>86</v>
      </c>
      <c r="F166">
        <v>133</v>
      </c>
      <c r="G166" s="1">
        <v>4100</v>
      </c>
      <c r="H166" s="1">
        <v>4068</v>
      </c>
      <c r="I166" s="1">
        <v>8136</v>
      </c>
      <c r="J166" s="1">
        <v>2000</v>
      </c>
    </row>
    <row r="167" spans="1:10" x14ac:dyDescent="0.3">
      <c r="A167" t="s">
        <v>121</v>
      </c>
      <c r="B167" t="s">
        <v>3</v>
      </c>
      <c r="C167" t="s">
        <v>193</v>
      </c>
      <c r="D167" t="s">
        <v>68</v>
      </c>
      <c r="E167">
        <v>86</v>
      </c>
      <c r="F167">
        <v>133</v>
      </c>
      <c r="G167" s="1">
        <v>4100</v>
      </c>
      <c r="H167" s="1">
        <v>4015</v>
      </c>
      <c r="I167" s="1">
        <v>8432</v>
      </c>
      <c r="J167" s="1">
        <v>2100</v>
      </c>
    </row>
    <row r="168" spans="1:10" x14ac:dyDescent="0.3">
      <c r="A168" t="s">
        <v>121</v>
      </c>
      <c r="B168" t="s">
        <v>18</v>
      </c>
      <c r="C168" t="s">
        <v>193</v>
      </c>
      <c r="D168" t="s">
        <v>42</v>
      </c>
      <c r="E168">
        <v>86</v>
      </c>
      <c r="F168">
        <v>161</v>
      </c>
      <c r="G168" s="1">
        <v>20000</v>
      </c>
      <c r="H168" s="1">
        <v>20000</v>
      </c>
      <c r="I168" s="1">
        <v>64000</v>
      </c>
      <c r="J168" s="1">
        <v>3200</v>
      </c>
    </row>
    <row r="169" spans="1:10" x14ac:dyDescent="0.3">
      <c r="A169" t="s">
        <v>121</v>
      </c>
      <c r="B169" t="s">
        <v>17</v>
      </c>
      <c r="C169" t="s">
        <v>193</v>
      </c>
      <c r="D169" t="s">
        <v>42</v>
      </c>
      <c r="E169">
        <v>86</v>
      </c>
      <c r="F169">
        <v>161</v>
      </c>
      <c r="G169" s="1">
        <v>20000</v>
      </c>
      <c r="H169" s="1">
        <v>20000</v>
      </c>
      <c r="I169" s="1">
        <v>58000</v>
      </c>
      <c r="J169" s="1">
        <v>2900</v>
      </c>
    </row>
    <row r="170" spans="1:10" x14ac:dyDescent="0.3">
      <c r="A170" t="s">
        <v>121</v>
      </c>
      <c r="B170" t="s">
        <v>14</v>
      </c>
      <c r="C170" t="s">
        <v>193</v>
      </c>
      <c r="D170" t="s">
        <v>42</v>
      </c>
      <c r="E170">
        <v>86</v>
      </c>
      <c r="F170">
        <v>161</v>
      </c>
      <c r="G170" s="1">
        <v>15000</v>
      </c>
      <c r="H170" s="1">
        <v>15000</v>
      </c>
      <c r="I170" s="1">
        <v>49500</v>
      </c>
      <c r="J170" s="1">
        <v>3300</v>
      </c>
    </row>
    <row r="171" spans="1:10" x14ac:dyDescent="0.3">
      <c r="A171" t="s">
        <v>121</v>
      </c>
      <c r="B171" t="s">
        <v>12</v>
      </c>
      <c r="C171" t="s">
        <v>193</v>
      </c>
      <c r="D171" t="s">
        <v>42</v>
      </c>
      <c r="E171">
        <v>86</v>
      </c>
      <c r="F171">
        <v>161</v>
      </c>
      <c r="G171" s="1">
        <v>19000</v>
      </c>
      <c r="H171" s="1">
        <v>19000</v>
      </c>
      <c r="I171" s="1">
        <v>66500</v>
      </c>
      <c r="J171" s="1">
        <v>3500</v>
      </c>
    </row>
    <row r="172" spans="1:10" x14ac:dyDescent="0.3">
      <c r="A172" t="s">
        <v>121</v>
      </c>
      <c r="B172" t="s">
        <v>9</v>
      </c>
      <c r="C172" t="s">
        <v>193</v>
      </c>
      <c r="D172" t="s">
        <v>42</v>
      </c>
      <c r="E172">
        <v>86</v>
      </c>
      <c r="F172">
        <v>161</v>
      </c>
      <c r="G172" s="1">
        <v>20000</v>
      </c>
      <c r="H172" s="1">
        <v>19000</v>
      </c>
      <c r="I172" s="1">
        <v>66500</v>
      </c>
      <c r="J172" s="1">
        <v>3500</v>
      </c>
    </row>
    <row r="173" spans="1:10" x14ac:dyDescent="0.3">
      <c r="A173" t="s">
        <v>121</v>
      </c>
      <c r="B173" t="s">
        <v>8</v>
      </c>
      <c r="C173" t="s">
        <v>193</v>
      </c>
      <c r="D173" t="s">
        <v>42</v>
      </c>
      <c r="E173">
        <v>86</v>
      </c>
      <c r="F173">
        <v>161</v>
      </c>
      <c r="G173" s="1">
        <v>20000</v>
      </c>
      <c r="H173" s="1">
        <v>20000</v>
      </c>
      <c r="I173" s="1">
        <v>60000</v>
      </c>
      <c r="J173" s="1">
        <v>3000</v>
      </c>
    </row>
    <row r="174" spans="1:10" x14ac:dyDescent="0.3">
      <c r="A174" t="s">
        <v>121</v>
      </c>
      <c r="B174" t="s">
        <v>7</v>
      </c>
      <c r="C174" t="s">
        <v>193</v>
      </c>
      <c r="D174" t="s">
        <v>42</v>
      </c>
      <c r="E174">
        <v>86</v>
      </c>
      <c r="F174">
        <v>161</v>
      </c>
      <c r="G174" s="1">
        <v>20000</v>
      </c>
      <c r="H174" s="1">
        <v>20000</v>
      </c>
      <c r="I174" s="1">
        <v>60000</v>
      </c>
      <c r="J174" s="1">
        <v>3000</v>
      </c>
    </row>
    <row r="175" spans="1:10" x14ac:dyDescent="0.3">
      <c r="A175" t="s">
        <v>121</v>
      </c>
      <c r="B175" t="s">
        <v>6</v>
      </c>
      <c r="C175" t="s">
        <v>193</v>
      </c>
      <c r="D175" t="s">
        <v>42</v>
      </c>
      <c r="E175">
        <v>86</v>
      </c>
      <c r="F175">
        <v>161</v>
      </c>
      <c r="G175" s="1">
        <v>20000</v>
      </c>
      <c r="H175" s="1">
        <v>20000</v>
      </c>
      <c r="I175" s="1">
        <v>50000</v>
      </c>
      <c r="J175" s="1">
        <v>2500</v>
      </c>
    </row>
    <row r="176" spans="1:10" x14ac:dyDescent="0.3">
      <c r="A176" t="s">
        <v>121</v>
      </c>
      <c r="B176" t="s">
        <v>5</v>
      </c>
      <c r="C176" t="s">
        <v>193</v>
      </c>
      <c r="D176" t="s">
        <v>42</v>
      </c>
      <c r="E176">
        <v>86</v>
      </c>
      <c r="F176">
        <v>161</v>
      </c>
      <c r="G176" s="1">
        <v>20000</v>
      </c>
      <c r="H176" s="1">
        <v>20000</v>
      </c>
      <c r="I176" s="1">
        <v>40000</v>
      </c>
      <c r="J176" s="1">
        <v>2000</v>
      </c>
    </row>
    <row r="177" spans="1:10" x14ac:dyDescent="0.3">
      <c r="A177" t="s">
        <v>121</v>
      </c>
      <c r="B177" t="s">
        <v>4</v>
      </c>
      <c r="C177" t="s">
        <v>193</v>
      </c>
      <c r="D177" t="s">
        <v>42</v>
      </c>
      <c r="E177">
        <v>86</v>
      </c>
      <c r="F177">
        <v>161</v>
      </c>
      <c r="G177" s="1">
        <v>20000</v>
      </c>
      <c r="H177" s="1">
        <v>19985</v>
      </c>
      <c r="I177" s="1">
        <v>69948</v>
      </c>
      <c r="J177" s="1">
        <v>3500</v>
      </c>
    </row>
    <row r="178" spans="1:10" x14ac:dyDescent="0.3">
      <c r="A178" t="s">
        <v>121</v>
      </c>
      <c r="B178" t="s">
        <v>3</v>
      </c>
      <c r="C178" t="s">
        <v>193</v>
      </c>
      <c r="D178" t="s">
        <v>42</v>
      </c>
      <c r="E178">
        <v>86</v>
      </c>
      <c r="F178">
        <v>161</v>
      </c>
      <c r="G178" s="1">
        <v>20000</v>
      </c>
      <c r="H178" s="1">
        <v>19750</v>
      </c>
      <c r="I178" s="1">
        <v>39500</v>
      </c>
      <c r="J178" s="1">
        <v>2000</v>
      </c>
    </row>
    <row r="179" spans="1:10" x14ac:dyDescent="0.3">
      <c r="A179" t="s">
        <v>121</v>
      </c>
      <c r="B179" t="s">
        <v>18</v>
      </c>
      <c r="C179" t="s">
        <v>193</v>
      </c>
      <c r="D179" t="s">
        <v>52</v>
      </c>
      <c r="E179">
        <v>86</v>
      </c>
      <c r="F179">
        <v>175</v>
      </c>
      <c r="G179" s="1">
        <v>3500</v>
      </c>
      <c r="H179" s="1">
        <v>3500</v>
      </c>
      <c r="I179" s="1">
        <v>8750</v>
      </c>
      <c r="J179" s="1">
        <v>2500</v>
      </c>
    </row>
    <row r="180" spans="1:10" x14ac:dyDescent="0.3">
      <c r="A180" t="s">
        <v>121</v>
      </c>
      <c r="B180" t="s">
        <v>17</v>
      </c>
      <c r="C180" t="s">
        <v>193</v>
      </c>
      <c r="D180" t="s">
        <v>52</v>
      </c>
      <c r="E180">
        <v>86</v>
      </c>
      <c r="F180">
        <v>175</v>
      </c>
      <c r="G180" s="1">
        <v>4000</v>
      </c>
      <c r="H180" s="1">
        <v>4000</v>
      </c>
      <c r="I180" s="1">
        <v>9600</v>
      </c>
      <c r="J180" s="1">
        <v>2400</v>
      </c>
    </row>
    <row r="181" spans="1:10" x14ac:dyDescent="0.3">
      <c r="A181" t="s">
        <v>121</v>
      </c>
      <c r="B181" t="s">
        <v>14</v>
      </c>
      <c r="C181" t="s">
        <v>193</v>
      </c>
      <c r="D181" t="s">
        <v>52</v>
      </c>
      <c r="E181">
        <v>86</v>
      </c>
      <c r="F181">
        <v>175</v>
      </c>
      <c r="G181" s="1">
        <v>2500</v>
      </c>
      <c r="H181" s="1">
        <v>2500</v>
      </c>
      <c r="I181" s="1">
        <v>7500</v>
      </c>
      <c r="J181" s="1">
        <v>3000</v>
      </c>
    </row>
    <row r="182" spans="1:10" x14ac:dyDescent="0.3">
      <c r="A182" t="s">
        <v>121</v>
      </c>
      <c r="B182" t="s">
        <v>12</v>
      </c>
      <c r="C182" t="s">
        <v>193</v>
      </c>
      <c r="D182" t="s">
        <v>52</v>
      </c>
      <c r="E182">
        <v>86</v>
      </c>
      <c r="F182">
        <v>175</v>
      </c>
      <c r="G182" s="1">
        <v>3000</v>
      </c>
      <c r="H182" s="1">
        <v>3000</v>
      </c>
      <c r="I182" s="1">
        <v>9000</v>
      </c>
      <c r="J182" s="1">
        <v>3000</v>
      </c>
    </row>
    <row r="183" spans="1:10" x14ac:dyDescent="0.3">
      <c r="A183" t="s">
        <v>121</v>
      </c>
      <c r="B183" t="s">
        <v>9</v>
      </c>
      <c r="C183" t="s">
        <v>193</v>
      </c>
      <c r="D183" t="s">
        <v>52</v>
      </c>
      <c r="E183">
        <v>86</v>
      </c>
      <c r="F183">
        <v>175</v>
      </c>
      <c r="G183" s="1">
        <v>3000</v>
      </c>
      <c r="H183" s="1">
        <v>3000</v>
      </c>
      <c r="I183" s="1">
        <v>10500</v>
      </c>
      <c r="J183" s="1">
        <v>3500</v>
      </c>
    </row>
    <row r="184" spans="1:10" x14ac:dyDescent="0.3">
      <c r="A184" t="s">
        <v>121</v>
      </c>
      <c r="B184" t="s">
        <v>8</v>
      </c>
      <c r="C184" t="s">
        <v>193</v>
      </c>
      <c r="D184" t="s">
        <v>52</v>
      </c>
      <c r="E184">
        <v>86</v>
      </c>
      <c r="F184">
        <v>175</v>
      </c>
      <c r="G184" s="1">
        <v>3000</v>
      </c>
      <c r="H184" s="1">
        <v>3000</v>
      </c>
      <c r="I184" s="1">
        <v>9000</v>
      </c>
      <c r="J184" s="1">
        <v>3000</v>
      </c>
    </row>
    <row r="185" spans="1:10" x14ac:dyDescent="0.3">
      <c r="A185" t="s">
        <v>121</v>
      </c>
      <c r="B185" t="s">
        <v>7</v>
      </c>
      <c r="C185" t="s">
        <v>193</v>
      </c>
      <c r="D185" t="s">
        <v>52</v>
      </c>
      <c r="E185">
        <v>86</v>
      </c>
      <c r="F185">
        <v>175</v>
      </c>
      <c r="G185" s="1">
        <v>3000</v>
      </c>
      <c r="H185" s="1">
        <v>3000</v>
      </c>
      <c r="I185" s="1">
        <v>9000</v>
      </c>
      <c r="J185" s="1">
        <v>3000</v>
      </c>
    </row>
    <row r="186" spans="1:10" x14ac:dyDescent="0.3">
      <c r="A186" t="s">
        <v>121</v>
      </c>
      <c r="B186" t="s">
        <v>6</v>
      </c>
      <c r="C186" t="s">
        <v>193</v>
      </c>
      <c r="D186" t="s">
        <v>52</v>
      </c>
      <c r="E186">
        <v>86</v>
      </c>
      <c r="F186">
        <v>175</v>
      </c>
      <c r="G186" s="1">
        <v>4500</v>
      </c>
      <c r="H186" s="1">
        <v>4500</v>
      </c>
      <c r="I186" s="1">
        <v>11250</v>
      </c>
      <c r="J186" s="1">
        <v>2500</v>
      </c>
    </row>
    <row r="187" spans="1:10" x14ac:dyDescent="0.3">
      <c r="A187" t="s">
        <v>121</v>
      </c>
      <c r="B187" t="s">
        <v>5</v>
      </c>
      <c r="C187" t="s">
        <v>193</v>
      </c>
      <c r="D187" t="s">
        <v>52</v>
      </c>
      <c r="E187">
        <v>86</v>
      </c>
      <c r="F187">
        <v>175</v>
      </c>
      <c r="G187" s="1">
        <v>4000</v>
      </c>
      <c r="H187" s="1">
        <v>4000</v>
      </c>
      <c r="I187" s="1">
        <v>8000</v>
      </c>
      <c r="J187" s="1">
        <v>2000</v>
      </c>
    </row>
    <row r="188" spans="1:10" x14ac:dyDescent="0.3">
      <c r="A188" t="s">
        <v>121</v>
      </c>
      <c r="B188" t="s">
        <v>4</v>
      </c>
      <c r="C188" t="s">
        <v>193</v>
      </c>
      <c r="D188" t="s">
        <v>52</v>
      </c>
      <c r="E188">
        <v>86</v>
      </c>
      <c r="F188">
        <v>175</v>
      </c>
      <c r="G188" s="1">
        <v>4000</v>
      </c>
      <c r="H188" s="1">
        <v>3995</v>
      </c>
      <c r="I188" s="1">
        <v>9988</v>
      </c>
      <c r="J188" s="1">
        <v>2500</v>
      </c>
    </row>
    <row r="189" spans="1:10" x14ac:dyDescent="0.3">
      <c r="A189" t="s">
        <v>121</v>
      </c>
      <c r="B189" t="s">
        <v>3</v>
      </c>
      <c r="C189" t="s">
        <v>193</v>
      </c>
      <c r="D189" t="s">
        <v>52</v>
      </c>
      <c r="E189">
        <v>86</v>
      </c>
      <c r="F189">
        <v>175</v>
      </c>
      <c r="G189" s="1">
        <v>4000</v>
      </c>
      <c r="H189" s="1">
        <v>3950</v>
      </c>
      <c r="I189" s="1">
        <v>7900</v>
      </c>
      <c r="J189" s="1">
        <v>2000</v>
      </c>
    </row>
    <row r="190" spans="1:10" x14ac:dyDescent="0.3">
      <c r="A190" t="s">
        <v>121</v>
      </c>
      <c r="B190" t="s">
        <v>18</v>
      </c>
      <c r="C190" t="s">
        <v>193</v>
      </c>
      <c r="D190" t="s">
        <v>25</v>
      </c>
      <c r="E190">
        <v>86</v>
      </c>
      <c r="F190">
        <v>182</v>
      </c>
      <c r="G190" s="1">
        <v>3500</v>
      </c>
      <c r="H190" s="1">
        <v>3000</v>
      </c>
      <c r="I190" s="1">
        <v>7500</v>
      </c>
      <c r="J190" s="1">
        <v>2500</v>
      </c>
    </row>
    <row r="191" spans="1:10" x14ac:dyDescent="0.3">
      <c r="A191" t="s">
        <v>121</v>
      </c>
      <c r="B191" t="s">
        <v>17</v>
      </c>
      <c r="C191" t="s">
        <v>193</v>
      </c>
      <c r="D191" t="s">
        <v>25</v>
      </c>
      <c r="E191">
        <v>86</v>
      </c>
      <c r="F191">
        <v>182</v>
      </c>
      <c r="G191" s="1">
        <v>3500</v>
      </c>
      <c r="H191" s="1">
        <v>3000</v>
      </c>
      <c r="I191" s="1">
        <v>4200</v>
      </c>
      <c r="J191" s="1">
        <v>1400</v>
      </c>
    </row>
    <row r="192" spans="1:10" x14ac:dyDescent="0.3">
      <c r="A192" t="s">
        <v>121</v>
      </c>
      <c r="B192" t="s">
        <v>14</v>
      </c>
      <c r="C192" t="s">
        <v>193</v>
      </c>
      <c r="D192" t="s">
        <v>25</v>
      </c>
      <c r="E192">
        <v>86</v>
      </c>
      <c r="F192">
        <v>182</v>
      </c>
      <c r="G192" s="1">
        <v>3320</v>
      </c>
      <c r="H192" s="1">
        <v>3270</v>
      </c>
      <c r="I192" s="1">
        <v>9810</v>
      </c>
      <c r="J192" s="1">
        <v>3000</v>
      </c>
    </row>
    <row r="193" spans="1:10" x14ac:dyDescent="0.3">
      <c r="A193" t="s">
        <v>121</v>
      </c>
      <c r="B193" t="s">
        <v>12</v>
      </c>
      <c r="C193" t="s">
        <v>193</v>
      </c>
      <c r="D193" t="s">
        <v>25</v>
      </c>
      <c r="E193">
        <v>86</v>
      </c>
      <c r="F193">
        <v>182</v>
      </c>
      <c r="G193" s="1">
        <v>4000</v>
      </c>
      <c r="H193" s="1">
        <v>4000</v>
      </c>
      <c r="I193" s="1">
        <v>12800</v>
      </c>
      <c r="J193" s="1">
        <v>3200</v>
      </c>
    </row>
    <row r="194" spans="1:10" x14ac:dyDescent="0.3">
      <c r="A194" t="s">
        <v>121</v>
      </c>
      <c r="B194" t="s">
        <v>9</v>
      </c>
      <c r="C194" t="s">
        <v>193</v>
      </c>
      <c r="D194" t="s">
        <v>25</v>
      </c>
      <c r="E194">
        <v>86</v>
      </c>
      <c r="F194">
        <v>182</v>
      </c>
      <c r="G194" s="1">
        <v>4650</v>
      </c>
      <c r="H194" s="1">
        <v>3510</v>
      </c>
      <c r="I194" s="1">
        <v>10530</v>
      </c>
      <c r="J194" s="1">
        <v>3000</v>
      </c>
    </row>
    <row r="195" spans="1:10" x14ac:dyDescent="0.3">
      <c r="A195" t="s">
        <v>121</v>
      </c>
      <c r="B195" t="s">
        <v>8</v>
      </c>
      <c r="C195" t="s">
        <v>193</v>
      </c>
      <c r="D195" t="s">
        <v>25</v>
      </c>
      <c r="E195">
        <v>86</v>
      </c>
      <c r="F195">
        <v>182</v>
      </c>
      <c r="G195" s="1">
        <v>4800</v>
      </c>
      <c r="H195" s="1">
        <v>4490</v>
      </c>
      <c r="I195" s="1">
        <v>13919</v>
      </c>
      <c r="J195" s="1">
        <v>3100</v>
      </c>
    </row>
    <row r="196" spans="1:10" x14ac:dyDescent="0.3">
      <c r="A196" t="s">
        <v>121</v>
      </c>
      <c r="B196" t="s">
        <v>7</v>
      </c>
      <c r="C196" t="s">
        <v>193</v>
      </c>
      <c r="D196" t="s">
        <v>25</v>
      </c>
      <c r="E196">
        <v>86</v>
      </c>
      <c r="F196">
        <v>182</v>
      </c>
      <c r="G196" s="1">
        <v>4800</v>
      </c>
      <c r="H196" s="1">
        <v>4660</v>
      </c>
      <c r="I196" s="1">
        <v>12582</v>
      </c>
      <c r="J196" s="1">
        <v>2700</v>
      </c>
    </row>
    <row r="197" spans="1:10" x14ac:dyDescent="0.3">
      <c r="A197" t="s">
        <v>121</v>
      </c>
      <c r="B197" t="s">
        <v>6</v>
      </c>
      <c r="C197" t="s">
        <v>193</v>
      </c>
      <c r="D197" t="s">
        <v>25</v>
      </c>
      <c r="E197">
        <v>86</v>
      </c>
      <c r="F197">
        <v>182</v>
      </c>
      <c r="G197" s="1">
        <v>5800</v>
      </c>
      <c r="H197" s="1">
        <v>5800</v>
      </c>
      <c r="I197" s="1">
        <v>17400</v>
      </c>
      <c r="J197" s="1">
        <v>3000</v>
      </c>
    </row>
    <row r="198" spans="1:10" x14ac:dyDescent="0.3">
      <c r="A198" t="s">
        <v>121</v>
      </c>
      <c r="B198" t="s">
        <v>5</v>
      </c>
      <c r="C198" t="s">
        <v>193</v>
      </c>
      <c r="D198" t="s">
        <v>25</v>
      </c>
      <c r="E198">
        <v>86</v>
      </c>
      <c r="F198">
        <v>182</v>
      </c>
      <c r="G198" s="1">
        <v>4350</v>
      </c>
      <c r="H198" s="1">
        <v>3690</v>
      </c>
      <c r="I198" s="1">
        <v>6273</v>
      </c>
      <c r="J198" s="1">
        <v>1700</v>
      </c>
    </row>
    <row r="199" spans="1:10" x14ac:dyDescent="0.3">
      <c r="A199" t="s">
        <v>121</v>
      </c>
      <c r="B199" t="s">
        <v>4</v>
      </c>
      <c r="C199" t="s">
        <v>193</v>
      </c>
      <c r="D199" t="s">
        <v>25</v>
      </c>
      <c r="E199">
        <v>86</v>
      </c>
      <c r="F199">
        <v>182</v>
      </c>
      <c r="G199" s="1">
        <v>5900</v>
      </c>
      <c r="H199" s="1">
        <v>5900</v>
      </c>
      <c r="I199" s="1">
        <v>15340</v>
      </c>
      <c r="J199" s="1">
        <v>2600</v>
      </c>
    </row>
    <row r="200" spans="1:10" x14ac:dyDescent="0.3">
      <c r="A200" t="s">
        <v>121</v>
      </c>
      <c r="B200" t="s">
        <v>3</v>
      </c>
      <c r="C200" t="s">
        <v>193</v>
      </c>
      <c r="D200" t="s">
        <v>25</v>
      </c>
      <c r="E200">
        <v>86</v>
      </c>
      <c r="F200">
        <v>182</v>
      </c>
      <c r="G200" s="1">
        <v>5400</v>
      </c>
      <c r="H200" s="1">
        <v>5400</v>
      </c>
      <c r="I200" s="1">
        <v>9720</v>
      </c>
      <c r="J200" s="1">
        <v>1800</v>
      </c>
    </row>
    <row r="201" spans="1:10" x14ac:dyDescent="0.3">
      <c r="A201" t="s">
        <v>121</v>
      </c>
      <c r="B201" t="s">
        <v>18</v>
      </c>
      <c r="C201" t="s">
        <v>193</v>
      </c>
      <c r="D201" t="s">
        <v>33</v>
      </c>
      <c r="E201">
        <v>86</v>
      </c>
      <c r="F201">
        <v>189</v>
      </c>
      <c r="G201" s="1">
        <v>3500</v>
      </c>
      <c r="H201" s="1">
        <v>3500</v>
      </c>
      <c r="I201" s="1">
        <v>8750</v>
      </c>
      <c r="J201" s="1">
        <v>2500</v>
      </c>
    </row>
    <row r="202" spans="1:10" x14ac:dyDescent="0.3">
      <c r="A202" t="s">
        <v>121</v>
      </c>
      <c r="B202" t="s">
        <v>17</v>
      </c>
      <c r="C202" t="s">
        <v>193</v>
      </c>
      <c r="D202" t="s">
        <v>33</v>
      </c>
      <c r="E202">
        <v>86</v>
      </c>
      <c r="F202">
        <v>189</v>
      </c>
      <c r="G202" s="1">
        <v>4000</v>
      </c>
      <c r="H202" s="1">
        <v>4000</v>
      </c>
      <c r="I202" s="1">
        <v>10400</v>
      </c>
      <c r="J202" s="1">
        <v>2600</v>
      </c>
    </row>
    <row r="203" spans="1:10" x14ac:dyDescent="0.3">
      <c r="A203" t="s">
        <v>121</v>
      </c>
      <c r="B203" t="s">
        <v>14</v>
      </c>
      <c r="C203" t="s">
        <v>193</v>
      </c>
      <c r="D203" t="s">
        <v>33</v>
      </c>
      <c r="E203">
        <v>86</v>
      </c>
      <c r="F203">
        <v>189</v>
      </c>
      <c r="G203" s="1">
        <v>4000</v>
      </c>
      <c r="H203" s="1">
        <v>4000</v>
      </c>
      <c r="I203" s="1">
        <v>13200</v>
      </c>
      <c r="J203" s="1">
        <v>3300</v>
      </c>
    </row>
    <row r="204" spans="1:10" x14ac:dyDescent="0.3">
      <c r="A204" t="s">
        <v>121</v>
      </c>
      <c r="B204" t="s">
        <v>12</v>
      </c>
      <c r="C204" t="s">
        <v>193</v>
      </c>
      <c r="D204" t="s">
        <v>33</v>
      </c>
      <c r="E204">
        <v>86</v>
      </c>
      <c r="F204">
        <v>189</v>
      </c>
      <c r="G204" s="1">
        <v>4000</v>
      </c>
      <c r="H204" s="1">
        <v>4000</v>
      </c>
      <c r="I204" s="1">
        <v>14000</v>
      </c>
      <c r="J204" s="1">
        <v>3500</v>
      </c>
    </row>
    <row r="205" spans="1:10" x14ac:dyDescent="0.3">
      <c r="A205" t="s">
        <v>121</v>
      </c>
      <c r="B205" t="s">
        <v>9</v>
      </c>
      <c r="C205" t="s">
        <v>193</v>
      </c>
      <c r="D205" t="s">
        <v>33</v>
      </c>
      <c r="E205">
        <v>86</v>
      </c>
      <c r="F205">
        <v>189</v>
      </c>
      <c r="G205" s="1">
        <v>4000</v>
      </c>
      <c r="H205" s="1">
        <v>4000</v>
      </c>
      <c r="I205" s="1">
        <v>12000</v>
      </c>
      <c r="J205" s="1">
        <v>3000</v>
      </c>
    </row>
    <row r="206" spans="1:10" x14ac:dyDescent="0.3">
      <c r="A206" t="s">
        <v>121</v>
      </c>
      <c r="B206" t="s">
        <v>8</v>
      </c>
      <c r="C206" t="s">
        <v>193</v>
      </c>
      <c r="D206" t="s">
        <v>33</v>
      </c>
      <c r="E206">
        <v>86</v>
      </c>
      <c r="F206">
        <v>189</v>
      </c>
      <c r="G206" s="1">
        <v>4000</v>
      </c>
      <c r="H206" s="1">
        <v>4000</v>
      </c>
      <c r="I206" s="1">
        <v>12000</v>
      </c>
      <c r="J206" s="1">
        <v>3000</v>
      </c>
    </row>
    <row r="207" spans="1:10" x14ac:dyDescent="0.3">
      <c r="A207" t="s">
        <v>121</v>
      </c>
      <c r="B207" t="s">
        <v>7</v>
      </c>
      <c r="C207" t="s">
        <v>193</v>
      </c>
      <c r="D207" t="s">
        <v>33</v>
      </c>
      <c r="E207">
        <v>86</v>
      </c>
      <c r="F207">
        <v>189</v>
      </c>
      <c r="G207" s="1">
        <v>4000</v>
      </c>
      <c r="H207" s="1">
        <v>4000</v>
      </c>
      <c r="I207" s="1">
        <v>12000</v>
      </c>
      <c r="J207" s="1">
        <v>3000</v>
      </c>
    </row>
    <row r="208" spans="1:10" x14ac:dyDescent="0.3">
      <c r="A208" t="s">
        <v>121</v>
      </c>
      <c r="B208" t="s">
        <v>6</v>
      </c>
      <c r="C208" t="s">
        <v>193</v>
      </c>
      <c r="D208" t="s">
        <v>33</v>
      </c>
      <c r="E208">
        <v>86</v>
      </c>
      <c r="F208">
        <v>189</v>
      </c>
      <c r="G208" s="1">
        <v>4000</v>
      </c>
      <c r="H208" s="1">
        <v>4000</v>
      </c>
      <c r="I208" s="1">
        <v>10000</v>
      </c>
      <c r="J208" s="1">
        <v>2500</v>
      </c>
    </row>
    <row r="209" spans="1:10" x14ac:dyDescent="0.3">
      <c r="A209" t="s">
        <v>121</v>
      </c>
      <c r="B209" t="s">
        <v>5</v>
      </c>
      <c r="C209" t="s">
        <v>193</v>
      </c>
      <c r="D209" t="s">
        <v>33</v>
      </c>
      <c r="E209">
        <v>86</v>
      </c>
      <c r="F209">
        <v>189</v>
      </c>
      <c r="G209" s="1">
        <v>4000</v>
      </c>
      <c r="H209" s="1">
        <v>4000</v>
      </c>
      <c r="I209" s="1">
        <v>8000</v>
      </c>
      <c r="J209" s="1">
        <v>2000</v>
      </c>
    </row>
    <row r="210" spans="1:10" x14ac:dyDescent="0.3">
      <c r="A210" t="s">
        <v>121</v>
      </c>
      <c r="B210" t="s">
        <v>4</v>
      </c>
      <c r="C210" t="s">
        <v>193</v>
      </c>
      <c r="D210" t="s">
        <v>33</v>
      </c>
      <c r="E210">
        <v>86</v>
      </c>
      <c r="F210">
        <v>189</v>
      </c>
      <c r="G210" s="1">
        <v>4000</v>
      </c>
      <c r="H210" s="1">
        <v>3995</v>
      </c>
      <c r="I210" s="1">
        <v>13983</v>
      </c>
      <c r="J210" s="1">
        <v>3500</v>
      </c>
    </row>
    <row r="211" spans="1:10" x14ac:dyDescent="0.3">
      <c r="A211" t="s">
        <v>121</v>
      </c>
      <c r="B211" t="s">
        <v>3</v>
      </c>
      <c r="C211" t="s">
        <v>193</v>
      </c>
      <c r="D211" t="s">
        <v>33</v>
      </c>
      <c r="E211">
        <v>86</v>
      </c>
      <c r="F211">
        <v>189</v>
      </c>
      <c r="G211" s="1">
        <v>4000</v>
      </c>
      <c r="H211" s="1">
        <v>3850</v>
      </c>
      <c r="I211" s="1">
        <v>8085</v>
      </c>
      <c r="J211" s="1">
        <v>2100</v>
      </c>
    </row>
    <row r="212" spans="1:10" x14ac:dyDescent="0.3">
      <c r="A212" t="s">
        <v>16</v>
      </c>
      <c r="B212" t="s">
        <v>6</v>
      </c>
      <c r="C212" t="s">
        <v>193</v>
      </c>
      <c r="D212" t="s">
        <v>64</v>
      </c>
      <c r="E212">
        <v>86</v>
      </c>
      <c r="F212">
        <v>7</v>
      </c>
      <c r="G212" s="1">
        <v>850</v>
      </c>
      <c r="H212" s="1">
        <v>0</v>
      </c>
      <c r="I212" s="1">
        <v>0</v>
      </c>
      <c r="J212" s="1">
        <v>0</v>
      </c>
    </row>
    <row r="213" spans="1:10" x14ac:dyDescent="0.3">
      <c r="A213" t="s">
        <v>16</v>
      </c>
      <c r="B213" t="s">
        <v>5</v>
      </c>
      <c r="C213" t="s">
        <v>193</v>
      </c>
      <c r="D213" t="s">
        <v>64</v>
      </c>
      <c r="E213">
        <v>86</v>
      </c>
      <c r="F213">
        <v>7</v>
      </c>
      <c r="G213" s="1">
        <v>880</v>
      </c>
      <c r="H213" s="1">
        <v>0</v>
      </c>
      <c r="I213" s="1">
        <v>0</v>
      </c>
      <c r="J213" s="1">
        <v>0</v>
      </c>
    </row>
    <row r="214" spans="1:10" x14ac:dyDescent="0.3">
      <c r="A214" t="s">
        <v>16</v>
      </c>
      <c r="B214" t="s">
        <v>4</v>
      </c>
      <c r="C214" t="s">
        <v>193</v>
      </c>
      <c r="D214" t="s">
        <v>64</v>
      </c>
      <c r="E214">
        <v>86</v>
      </c>
      <c r="F214">
        <v>7</v>
      </c>
      <c r="G214" s="1">
        <v>880</v>
      </c>
      <c r="H214" s="1">
        <v>880</v>
      </c>
      <c r="I214" s="1">
        <v>880</v>
      </c>
      <c r="J214" s="1">
        <v>1000</v>
      </c>
    </row>
    <row r="215" spans="1:10" x14ac:dyDescent="0.3">
      <c r="A215" t="s">
        <v>16</v>
      </c>
      <c r="B215" t="s">
        <v>3</v>
      </c>
      <c r="C215" t="s">
        <v>193</v>
      </c>
      <c r="D215" t="s">
        <v>64</v>
      </c>
      <c r="E215">
        <v>86</v>
      </c>
      <c r="F215">
        <v>7</v>
      </c>
      <c r="G215" s="1">
        <v>880</v>
      </c>
      <c r="H215" s="1">
        <v>110</v>
      </c>
      <c r="I215" s="1">
        <v>77</v>
      </c>
      <c r="J215" s="1">
        <v>700</v>
      </c>
    </row>
    <row r="216" spans="1:10" x14ac:dyDescent="0.3">
      <c r="A216" t="s">
        <v>16</v>
      </c>
      <c r="B216" t="s">
        <v>0</v>
      </c>
      <c r="C216" t="s">
        <v>193</v>
      </c>
      <c r="D216" t="s">
        <v>64</v>
      </c>
      <c r="E216">
        <v>86</v>
      </c>
      <c r="F216">
        <v>7</v>
      </c>
      <c r="G216" s="1">
        <v>880</v>
      </c>
      <c r="H216" s="1">
        <v>180</v>
      </c>
      <c r="I216" s="1">
        <v>270</v>
      </c>
      <c r="J216" s="1">
        <v>1500</v>
      </c>
    </row>
    <row r="217" spans="1:10" x14ac:dyDescent="0.3">
      <c r="A217" t="s">
        <v>16</v>
      </c>
      <c r="B217" t="s">
        <v>12</v>
      </c>
      <c r="C217" t="s">
        <v>193</v>
      </c>
      <c r="D217" t="s">
        <v>62</v>
      </c>
      <c r="E217">
        <v>86</v>
      </c>
      <c r="F217">
        <v>14</v>
      </c>
      <c r="G217" s="1">
        <v>550</v>
      </c>
      <c r="H217" s="1">
        <v>0</v>
      </c>
      <c r="I217" s="1">
        <v>0</v>
      </c>
      <c r="J217" s="1">
        <v>0</v>
      </c>
    </row>
    <row r="218" spans="1:10" x14ac:dyDescent="0.3">
      <c r="A218" t="s">
        <v>16</v>
      </c>
      <c r="B218" t="s">
        <v>9</v>
      </c>
      <c r="C218" t="s">
        <v>193</v>
      </c>
      <c r="D218" t="s">
        <v>62</v>
      </c>
      <c r="E218">
        <v>86</v>
      </c>
      <c r="F218">
        <v>14</v>
      </c>
      <c r="G218" s="1">
        <v>600</v>
      </c>
      <c r="H218" s="1">
        <v>0</v>
      </c>
      <c r="I218" s="1">
        <v>0</v>
      </c>
      <c r="J218" s="1">
        <v>0</v>
      </c>
    </row>
    <row r="219" spans="1:10" x14ac:dyDescent="0.3">
      <c r="A219" t="s">
        <v>16</v>
      </c>
      <c r="B219" t="s">
        <v>8</v>
      </c>
      <c r="C219" t="s">
        <v>193</v>
      </c>
      <c r="D219" t="s">
        <v>62</v>
      </c>
      <c r="E219">
        <v>86</v>
      </c>
      <c r="F219">
        <v>14</v>
      </c>
      <c r="G219" s="1">
        <v>700</v>
      </c>
      <c r="H219" s="1">
        <v>200</v>
      </c>
      <c r="I219" s="1">
        <v>280</v>
      </c>
      <c r="J219" s="1">
        <v>1400</v>
      </c>
    </row>
    <row r="220" spans="1:10" x14ac:dyDescent="0.3">
      <c r="A220" t="s">
        <v>16</v>
      </c>
      <c r="B220" t="s">
        <v>7</v>
      </c>
      <c r="C220" t="s">
        <v>193</v>
      </c>
      <c r="D220" t="s">
        <v>62</v>
      </c>
      <c r="E220">
        <v>86</v>
      </c>
      <c r="F220">
        <v>14</v>
      </c>
      <c r="G220" s="1">
        <v>600</v>
      </c>
      <c r="H220" s="1">
        <v>80</v>
      </c>
      <c r="I220" s="1">
        <v>80</v>
      </c>
      <c r="J220" s="1">
        <v>1000</v>
      </c>
    </row>
    <row r="221" spans="1:10" x14ac:dyDescent="0.3">
      <c r="A221" t="s">
        <v>16</v>
      </c>
      <c r="B221" t="s">
        <v>6</v>
      </c>
      <c r="C221" t="s">
        <v>193</v>
      </c>
      <c r="D221" t="s">
        <v>62</v>
      </c>
      <c r="E221">
        <v>86</v>
      </c>
      <c r="F221">
        <v>14</v>
      </c>
      <c r="G221" s="1">
        <v>840</v>
      </c>
      <c r="H221" s="1">
        <v>0</v>
      </c>
      <c r="I221" s="1">
        <v>0</v>
      </c>
      <c r="J221" s="1">
        <v>0</v>
      </c>
    </row>
    <row r="222" spans="1:10" x14ac:dyDescent="0.3">
      <c r="A222" t="s">
        <v>16</v>
      </c>
      <c r="B222" t="s">
        <v>5</v>
      </c>
      <c r="C222" t="s">
        <v>193</v>
      </c>
      <c r="D222" t="s">
        <v>62</v>
      </c>
      <c r="E222">
        <v>86</v>
      </c>
      <c r="F222">
        <v>14</v>
      </c>
      <c r="G222" s="1">
        <v>840</v>
      </c>
      <c r="H222" s="1">
        <v>0</v>
      </c>
      <c r="I222" s="1">
        <v>0</v>
      </c>
      <c r="J222" s="1">
        <v>0</v>
      </c>
    </row>
    <row r="223" spans="1:10" x14ac:dyDescent="0.3">
      <c r="A223" t="s">
        <v>16</v>
      </c>
      <c r="B223" t="s">
        <v>4</v>
      </c>
      <c r="C223" t="s">
        <v>193</v>
      </c>
      <c r="D223" t="s">
        <v>62</v>
      </c>
      <c r="E223">
        <v>86</v>
      </c>
      <c r="F223">
        <v>14</v>
      </c>
      <c r="G223" s="1">
        <v>840</v>
      </c>
      <c r="H223" s="1">
        <v>220</v>
      </c>
      <c r="I223" s="1">
        <v>220</v>
      </c>
      <c r="J223" s="1">
        <v>1000</v>
      </c>
    </row>
    <row r="224" spans="1:10" x14ac:dyDescent="0.3">
      <c r="A224" t="s">
        <v>16</v>
      </c>
      <c r="B224" t="s">
        <v>3</v>
      </c>
      <c r="C224" t="s">
        <v>193</v>
      </c>
      <c r="D224" t="s">
        <v>62</v>
      </c>
      <c r="E224">
        <v>86</v>
      </c>
      <c r="F224">
        <v>14</v>
      </c>
      <c r="G224" s="1">
        <v>850</v>
      </c>
      <c r="H224" s="1">
        <v>80</v>
      </c>
      <c r="I224" s="1">
        <v>56</v>
      </c>
      <c r="J224" s="1">
        <v>700</v>
      </c>
    </row>
    <row r="225" spans="1:10" x14ac:dyDescent="0.3">
      <c r="A225" t="s">
        <v>16</v>
      </c>
      <c r="B225" t="s">
        <v>0</v>
      </c>
      <c r="C225" t="s">
        <v>193</v>
      </c>
      <c r="D225" t="s">
        <v>62</v>
      </c>
      <c r="E225">
        <v>86</v>
      </c>
      <c r="F225">
        <v>14</v>
      </c>
      <c r="G225" s="1">
        <v>1050</v>
      </c>
      <c r="H225" s="1">
        <v>380</v>
      </c>
      <c r="I225" s="1">
        <v>608</v>
      </c>
      <c r="J225" s="1">
        <v>1600</v>
      </c>
    </row>
    <row r="226" spans="1:10" x14ac:dyDescent="0.3">
      <c r="A226" t="s">
        <v>16</v>
      </c>
      <c r="B226" t="s">
        <v>18</v>
      </c>
      <c r="C226" t="s">
        <v>193</v>
      </c>
      <c r="D226" t="s">
        <v>44</v>
      </c>
      <c r="E226">
        <v>86</v>
      </c>
      <c r="F226">
        <v>35</v>
      </c>
      <c r="G226" s="1">
        <v>500</v>
      </c>
      <c r="H226" s="1">
        <v>0</v>
      </c>
      <c r="I226" s="1">
        <v>0</v>
      </c>
      <c r="J226" s="1">
        <v>0</v>
      </c>
    </row>
    <row r="227" spans="1:10" x14ac:dyDescent="0.3">
      <c r="A227" t="s">
        <v>16</v>
      </c>
      <c r="B227" t="s">
        <v>17</v>
      </c>
      <c r="C227" t="s">
        <v>193</v>
      </c>
      <c r="D227" t="s">
        <v>44</v>
      </c>
      <c r="E227">
        <v>86</v>
      </c>
      <c r="F227">
        <v>35</v>
      </c>
      <c r="G227" s="1">
        <v>500</v>
      </c>
      <c r="H227" s="1">
        <v>400</v>
      </c>
      <c r="I227" s="1">
        <v>400</v>
      </c>
      <c r="J227" s="1">
        <v>1000</v>
      </c>
    </row>
    <row r="228" spans="1:10" x14ac:dyDescent="0.3">
      <c r="A228" t="s">
        <v>16</v>
      </c>
      <c r="B228" t="s">
        <v>12</v>
      </c>
      <c r="C228" t="s">
        <v>193</v>
      </c>
      <c r="D228" t="s">
        <v>44</v>
      </c>
      <c r="E228">
        <v>86</v>
      </c>
      <c r="F228">
        <v>35</v>
      </c>
      <c r="G228" s="1">
        <v>500</v>
      </c>
      <c r="H228" s="1">
        <v>0</v>
      </c>
      <c r="I228" s="1">
        <v>0</v>
      </c>
      <c r="J228" s="1">
        <v>0</v>
      </c>
    </row>
    <row r="229" spans="1:10" x14ac:dyDescent="0.3">
      <c r="A229" t="s">
        <v>16</v>
      </c>
      <c r="B229" t="s">
        <v>9</v>
      </c>
      <c r="C229" t="s">
        <v>193</v>
      </c>
      <c r="D229" t="s">
        <v>44</v>
      </c>
      <c r="E229">
        <v>86</v>
      </c>
      <c r="F229">
        <v>35</v>
      </c>
      <c r="G229" s="1">
        <v>500</v>
      </c>
      <c r="H229" s="1">
        <v>0</v>
      </c>
      <c r="I229" s="1">
        <v>0</v>
      </c>
      <c r="J229" s="1">
        <v>0</v>
      </c>
    </row>
    <row r="230" spans="1:10" x14ac:dyDescent="0.3">
      <c r="A230" t="s">
        <v>16</v>
      </c>
      <c r="B230" t="s">
        <v>8</v>
      </c>
      <c r="C230" t="s">
        <v>193</v>
      </c>
      <c r="D230" t="s">
        <v>44</v>
      </c>
      <c r="E230">
        <v>86</v>
      </c>
      <c r="F230">
        <v>35</v>
      </c>
      <c r="G230" s="1">
        <v>500</v>
      </c>
      <c r="H230" s="1">
        <v>0</v>
      </c>
      <c r="I230" s="1">
        <v>0</v>
      </c>
      <c r="J230" s="1">
        <v>0</v>
      </c>
    </row>
    <row r="231" spans="1:10" x14ac:dyDescent="0.3">
      <c r="A231" t="s">
        <v>16</v>
      </c>
      <c r="B231" t="s">
        <v>7</v>
      </c>
      <c r="C231" t="s">
        <v>193</v>
      </c>
      <c r="D231" t="s">
        <v>44</v>
      </c>
      <c r="E231">
        <v>86</v>
      </c>
      <c r="F231">
        <v>35</v>
      </c>
      <c r="G231" s="1">
        <v>500</v>
      </c>
      <c r="H231" s="1">
        <v>0</v>
      </c>
      <c r="I231" s="1">
        <v>0</v>
      </c>
      <c r="J231" s="1">
        <v>0</v>
      </c>
    </row>
    <row r="232" spans="1:10" x14ac:dyDescent="0.3">
      <c r="A232" t="s">
        <v>16</v>
      </c>
      <c r="B232" t="s">
        <v>6</v>
      </c>
      <c r="C232" t="s">
        <v>193</v>
      </c>
      <c r="D232" t="s">
        <v>44</v>
      </c>
      <c r="E232">
        <v>86</v>
      </c>
      <c r="F232">
        <v>35</v>
      </c>
      <c r="G232" s="1">
        <v>700</v>
      </c>
      <c r="H232" s="1">
        <v>200</v>
      </c>
      <c r="I232" s="1">
        <v>0</v>
      </c>
      <c r="J232" s="1">
        <v>0</v>
      </c>
    </row>
    <row r="233" spans="1:10" x14ac:dyDescent="0.3">
      <c r="A233" t="s">
        <v>16</v>
      </c>
      <c r="B233" t="s">
        <v>5</v>
      </c>
      <c r="C233" t="s">
        <v>193</v>
      </c>
      <c r="D233" t="s">
        <v>44</v>
      </c>
      <c r="E233">
        <v>86</v>
      </c>
      <c r="F233">
        <v>35</v>
      </c>
      <c r="G233" s="1">
        <v>1000</v>
      </c>
      <c r="H233" s="1">
        <v>200</v>
      </c>
      <c r="I233" s="1">
        <v>400</v>
      </c>
      <c r="J233" s="1">
        <v>2000</v>
      </c>
    </row>
    <row r="234" spans="1:10" x14ac:dyDescent="0.3">
      <c r="A234" t="s">
        <v>16</v>
      </c>
      <c r="B234" t="s">
        <v>4</v>
      </c>
      <c r="C234" t="s">
        <v>193</v>
      </c>
      <c r="D234" t="s">
        <v>44</v>
      </c>
      <c r="E234">
        <v>86</v>
      </c>
      <c r="F234">
        <v>35</v>
      </c>
      <c r="G234" s="1">
        <v>1000</v>
      </c>
      <c r="H234" s="1">
        <v>200</v>
      </c>
      <c r="I234" s="1">
        <v>400</v>
      </c>
      <c r="J234" s="1">
        <v>2000</v>
      </c>
    </row>
    <row r="235" spans="1:10" x14ac:dyDescent="0.3">
      <c r="A235" t="s">
        <v>16</v>
      </c>
      <c r="B235" t="s">
        <v>3</v>
      </c>
      <c r="C235" t="s">
        <v>193</v>
      </c>
      <c r="D235" t="s">
        <v>44</v>
      </c>
      <c r="E235">
        <v>86</v>
      </c>
      <c r="F235">
        <v>35</v>
      </c>
      <c r="G235" s="1">
        <v>1000</v>
      </c>
      <c r="H235" s="1">
        <v>200</v>
      </c>
      <c r="I235" s="1">
        <v>180</v>
      </c>
      <c r="J235" s="1">
        <v>900</v>
      </c>
    </row>
    <row r="236" spans="1:10" x14ac:dyDescent="0.3">
      <c r="A236" t="s">
        <v>16</v>
      </c>
      <c r="B236" t="s">
        <v>0</v>
      </c>
      <c r="C236" t="s">
        <v>193</v>
      </c>
      <c r="D236" t="s">
        <v>44</v>
      </c>
      <c r="E236">
        <v>86</v>
      </c>
      <c r="F236">
        <v>35</v>
      </c>
      <c r="G236" s="1">
        <v>1000</v>
      </c>
      <c r="H236" s="1">
        <v>425</v>
      </c>
      <c r="I236" s="1">
        <v>425</v>
      </c>
      <c r="J236" s="1">
        <v>1000</v>
      </c>
    </row>
    <row r="237" spans="1:10" x14ac:dyDescent="0.3">
      <c r="A237" t="s">
        <v>16</v>
      </c>
      <c r="B237" t="s">
        <v>12</v>
      </c>
      <c r="C237" t="s">
        <v>193</v>
      </c>
      <c r="D237" t="s">
        <v>74</v>
      </c>
      <c r="E237">
        <v>86</v>
      </c>
      <c r="F237">
        <v>42</v>
      </c>
      <c r="G237" s="1">
        <v>650</v>
      </c>
      <c r="H237" s="1">
        <v>0</v>
      </c>
      <c r="I237" s="1">
        <v>0</v>
      </c>
      <c r="J237" s="1">
        <v>0</v>
      </c>
    </row>
    <row r="238" spans="1:10" x14ac:dyDescent="0.3">
      <c r="A238" t="s">
        <v>16</v>
      </c>
      <c r="B238" t="s">
        <v>9</v>
      </c>
      <c r="C238" t="s">
        <v>193</v>
      </c>
      <c r="D238" t="s">
        <v>74</v>
      </c>
      <c r="E238">
        <v>86</v>
      </c>
      <c r="F238">
        <v>42</v>
      </c>
      <c r="G238" s="1">
        <v>600</v>
      </c>
      <c r="H238" s="1">
        <v>0</v>
      </c>
      <c r="I238" s="1">
        <v>0</v>
      </c>
      <c r="J238" s="1">
        <v>0</v>
      </c>
    </row>
    <row r="239" spans="1:10" x14ac:dyDescent="0.3">
      <c r="A239" t="s">
        <v>16</v>
      </c>
      <c r="B239" t="s">
        <v>8</v>
      </c>
      <c r="C239" t="s">
        <v>193</v>
      </c>
      <c r="D239" t="s">
        <v>74</v>
      </c>
      <c r="E239">
        <v>86</v>
      </c>
      <c r="F239">
        <v>42</v>
      </c>
      <c r="G239" s="1">
        <v>400</v>
      </c>
      <c r="H239" s="1">
        <v>80</v>
      </c>
      <c r="I239" s="1">
        <v>120</v>
      </c>
      <c r="J239" s="1">
        <v>1500</v>
      </c>
    </row>
    <row r="240" spans="1:10" x14ac:dyDescent="0.3">
      <c r="A240" t="s">
        <v>16</v>
      </c>
      <c r="B240" t="s">
        <v>7</v>
      </c>
      <c r="C240" t="s">
        <v>193</v>
      </c>
      <c r="D240" t="s">
        <v>74</v>
      </c>
      <c r="E240">
        <v>86</v>
      </c>
      <c r="F240">
        <v>42</v>
      </c>
      <c r="G240" s="1">
        <v>400</v>
      </c>
      <c r="H240" s="1">
        <v>90</v>
      </c>
      <c r="I240" s="1">
        <v>90</v>
      </c>
      <c r="J240" s="1">
        <v>1000</v>
      </c>
    </row>
    <row r="241" spans="1:10" x14ac:dyDescent="0.3">
      <c r="A241" t="s">
        <v>16</v>
      </c>
      <c r="B241" t="s">
        <v>6</v>
      </c>
      <c r="C241" t="s">
        <v>193</v>
      </c>
      <c r="D241" t="s">
        <v>74</v>
      </c>
      <c r="E241">
        <v>86</v>
      </c>
      <c r="F241">
        <v>42</v>
      </c>
      <c r="G241" s="1">
        <v>600</v>
      </c>
      <c r="H241" s="1">
        <v>90</v>
      </c>
      <c r="I241" s="1">
        <v>90</v>
      </c>
      <c r="J241" s="1">
        <v>1000</v>
      </c>
    </row>
    <row r="242" spans="1:10" x14ac:dyDescent="0.3">
      <c r="A242" t="s">
        <v>16</v>
      </c>
      <c r="B242" t="s">
        <v>5</v>
      </c>
      <c r="C242" t="s">
        <v>193</v>
      </c>
      <c r="D242" t="s">
        <v>74</v>
      </c>
      <c r="E242">
        <v>86</v>
      </c>
      <c r="F242">
        <v>42</v>
      </c>
      <c r="G242" s="1">
        <v>600</v>
      </c>
      <c r="H242" s="1">
        <v>0</v>
      </c>
      <c r="I242" s="1">
        <v>0</v>
      </c>
      <c r="J242" s="1">
        <v>0</v>
      </c>
    </row>
    <row r="243" spans="1:10" x14ac:dyDescent="0.3">
      <c r="A243" t="s">
        <v>16</v>
      </c>
      <c r="B243" t="s">
        <v>4</v>
      </c>
      <c r="C243" t="s">
        <v>193</v>
      </c>
      <c r="D243" t="s">
        <v>74</v>
      </c>
      <c r="E243">
        <v>86</v>
      </c>
      <c r="F243">
        <v>42</v>
      </c>
      <c r="G243" s="1">
        <v>600</v>
      </c>
      <c r="H243" s="1">
        <v>250</v>
      </c>
      <c r="I243" s="1">
        <v>250</v>
      </c>
      <c r="J243" s="1">
        <v>1000</v>
      </c>
    </row>
    <row r="244" spans="1:10" x14ac:dyDescent="0.3">
      <c r="A244" t="s">
        <v>16</v>
      </c>
      <c r="B244" t="s">
        <v>3</v>
      </c>
      <c r="C244" t="s">
        <v>193</v>
      </c>
      <c r="D244" t="s">
        <v>74</v>
      </c>
      <c r="E244">
        <v>86</v>
      </c>
      <c r="F244">
        <v>42</v>
      </c>
      <c r="G244" s="1">
        <v>650</v>
      </c>
      <c r="H244" s="1">
        <v>50</v>
      </c>
      <c r="I244" s="1">
        <v>35</v>
      </c>
      <c r="J244" s="1">
        <v>700</v>
      </c>
    </row>
    <row r="245" spans="1:10" x14ac:dyDescent="0.3">
      <c r="A245" t="s">
        <v>16</v>
      </c>
      <c r="B245" t="s">
        <v>0</v>
      </c>
      <c r="C245" t="s">
        <v>193</v>
      </c>
      <c r="D245" t="s">
        <v>74</v>
      </c>
      <c r="E245">
        <v>86</v>
      </c>
      <c r="F245">
        <v>42</v>
      </c>
      <c r="G245" s="1">
        <v>650</v>
      </c>
      <c r="H245" s="1">
        <v>130</v>
      </c>
      <c r="I245" s="1">
        <v>195</v>
      </c>
      <c r="J245" s="1">
        <v>1500</v>
      </c>
    </row>
    <row r="246" spans="1:10" x14ac:dyDescent="0.3">
      <c r="A246" t="s">
        <v>16</v>
      </c>
      <c r="B246" t="s">
        <v>18</v>
      </c>
      <c r="C246" t="s">
        <v>193</v>
      </c>
      <c r="D246" t="s">
        <v>41</v>
      </c>
      <c r="E246">
        <v>86</v>
      </c>
      <c r="F246">
        <v>49</v>
      </c>
      <c r="G246" s="1">
        <v>500</v>
      </c>
      <c r="H246" s="1">
        <v>0</v>
      </c>
      <c r="I246" s="1">
        <v>0</v>
      </c>
      <c r="J246" s="1">
        <v>0</v>
      </c>
    </row>
    <row r="247" spans="1:10" x14ac:dyDescent="0.3">
      <c r="A247" t="s">
        <v>16</v>
      </c>
      <c r="B247" t="s">
        <v>17</v>
      </c>
      <c r="C247" t="s">
        <v>193</v>
      </c>
      <c r="D247" t="s">
        <v>41</v>
      </c>
      <c r="E247">
        <v>86</v>
      </c>
      <c r="F247">
        <v>49</v>
      </c>
      <c r="G247" s="1">
        <v>800</v>
      </c>
      <c r="H247" s="1">
        <v>0</v>
      </c>
      <c r="I247" s="1">
        <v>0</v>
      </c>
      <c r="J247" s="1">
        <v>0</v>
      </c>
    </row>
    <row r="248" spans="1:10" x14ac:dyDescent="0.3">
      <c r="A248" t="s">
        <v>16</v>
      </c>
      <c r="B248" t="s">
        <v>12</v>
      </c>
      <c r="C248" t="s">
        <v>193</v>
      </c>
      <c r="D248" t="s">
        <v>41</v>
      </c>
      <c r="E248">
        <v>86</v>
      </c>
      <c r="F248">
        <v>49</v>
      </c>
      <c r="G248" s="1">
        <v>500</v>
      </c>
      <c r="H248" s="1">
        <v>0</v>
      </c>
      <c r="I248" s="1">
        <v>0</v>
      </c>
      <c r="J248" s="1">
        <v>0</v>
      </c>
    </row>
    <row r="249" spans="1:10" x14ac:dyDescent="0.3">
      <c r="A249" t="s">
        <v>16</v>
      </c>
      <c r="B249" t="s">
        <v>9</v>
      </c>
      <c r="C249" t="s">
        <v>193</v>
      </c>
      <c r="D249" t="s">
        <v>41</v>
      </c>
      <c r="E249">
        <v>86</v>
      </c>
      <c r="F249">
        <v>49</v>
      </c>
      <c r="G249" s="1">
        <v>500</v>
      </c>
      <c r="H249" s="1">
        <v>0</v>
      </c>
      <c r="I249" s="1">
        <v>0</v>
      </c>
      <c r="J249" s="1">
        <v>0</v>
      </c>
    </row>
    <row r="250" spans="1:10" x14ac:dyDescent="0.3">
      <c r="A250" t="s">
        <v>16</v>
      </c>
      <c r="B250" t="s">
        <v>8</v>
      </c>
      <c r="C250" t="s">
        <v>193</v>
      </c>
      <c r="D250" t="s">
        <v>41</v>
      </c>
      <c r="E250">
        <v>86</v>
      </c>
      <c r="F250">
        <v>49</v>
      </c>
      <c r="G250" s="1">
        <v>500</v>
      </c>
      <c r="H250" s="1">
        <v>0</v>
      </c>
      <c r="I250" s="1">
        <v>0</v>
      </c>
      <c r="J250" s="1">
        <v>0</v>
      </c>
    </row>
    <row r="251" spans="1:10" x14ac:dyDescent="0.3">
      <c r="A251" t="s">
        <v>16</v>
      </c>
      <c r="B251" t="s">
        <v>7</v>
      </c>
      <c r="C251" t="s">
        <v>193</v>
      </c>
      <c r="D251" t="s">
        <v>41</v>
      </c>
      <c r="E251">
        <v>86</v>
      </c>
      <c r="F251">
        <v>49</v>
      </c>
      <c r="G251" s="1">
        <v>500</v>
      </c>
      <c r="H251" s="1">
        <v>0</v>
      </c>
      <c r="I251" s="1">
        <v>0</v>
      </c>
      <c r="J251" s="1">
        <v>0</v>
      </c>
    </row>
    <row r="252" spans="1:10" x14ac:dyDescent="0.3">
      <c r="A252" t="s">
        <v>16</v>
      </c>
      <c r="B252" t="s">
        <v>6</v>
      </c>
      <c r="C252" t="s">
        <v>193</v>
      </c>
      <c r="D252" t="s">
        <v>41</v>
      </c>
      <c r="E252">
        <v>86</v>
      </c>
      <c r="F252">
        <v>49</v>
      </c>
      <c r="G252" s="1">
        <v>500</v>
      </c>
      <c r="H252" s="1">
        <v>0</v>
      </c>
      <c r="I252" s="1">
        <v>0</v>
      </c>
      <c r="J252" s="1">
        <v>0</v>
      </c>
    </row>
    <row r="253" spans="1:10" x14ac:dyDescent="0.3">
      <c r="A253" t="s">
        <v>16</v>
      </c>
      <c r="B253" t="s">
        <v>5</v>
      </c>
      <c r="C253" t="s">
        <v>193</v>
      </c>
      <c r="D253" t="s">
        <v>41</v>
      </c>
      <c r="E253">
        <v>86</v>
      </c>
      <c r="F253">
        <v>49</v>
      </c>
      <c r="G253" s="1">
        <v>1000</v>
      </c>
      <c r="H253" s="1">
        <v>0</v>
      </c>
      <c r="I253" s="1">
        <v>0</v>
      </c>
      <c r="J253" s="1">
        <v>0</v>
      </c>
    </row>
    <row r="254" spans="1:10" x14ac:dyDescent="0.3">
      <c r="A254" t="s">
        <v>16</v>
      </c>
      <c r="B254" t="s">
        <v>4</v>
      </c>
      <c r="C254" t="s">
        <v>193</v>
      </c>
      <c r="D254" t="s">
        <v>41</v>
      </c>
      <c r="E254">
        <v>86</v>
      </c>
      <c r="F254">
        <v>49</v>
      </c>
      <c r="G254" s="1">
        <v>1000</v>
      </c>
      <c r="H254" s="1">
        <v>0</v>
      </c>
      <c r="I254" s="1">
        <v>0</v>
      </c>
      <c r="J254" s="1">
        <v>0</v>
      </c>
    </row>
    <row r="255" spans="1:10" x14ac:dyDescent="0.3">
      <c r="A255" t="s">
        <v>16</v>
      </c>
      <c r="B255" t="s">
        <v>3</v>
      </c>
      <c r="C255" t="s">
        <v>193</v>
      </c>
      <c r="D255" t="s">
        <v>41</v>
      </c>
      <c r="E255">
        <v>86</v>
      </c>
      <c r="F255">
        <v>49</v>
      </c>
      <c r="G255" s="1">
        <v>1000</v>
      </c>
      <c r="H255" s="1">
        <v>0</v>
      </c>
      <c r="I255" s="1">
        <v>0</v>
      </c>
      <c r="J255" s="1">
        <v>0</v>
      </c>
    </row>
    <row r="256" spans="1:10" x14ac:dyDescent="0.3">
      <c r="A256" t="s">
        <v>16</v>
      </c>
      <c r="B256" t="s">
        <v>0</v>
      </c>
      <c r="C256" t="s">
        <v>193</v>
      </c>
      <c r="D256" t="s">
        <v>41</v>
      </c>
      <c r="E256">
        <v>86</v>
      </c>
      <c r="F256">
        <v>49</v>
      </c>
      <c r="G256" s="1">
        <v>1000</v>
      </c>
      <c r="H256" s="1">
        <v>365</v>
      </c>
      <c r="I256" s="1">
        <v>329</v>
      </c>
      <c r="J256" s="1">
        <v>900</v>
      </c>
    </row>
    <row r="257" spans="1:10" x14ac:dyDescent="0.3">
      <c r="A257" t="s">
        <v>16</v>
      </c>
      <c r="B257" t="s">
        <v>6</v>
      </c>
      <c r="C257" t="s">
        <v>193</v>
      </c>
      <c r="D257" t="s">
        <v>38</v>
      </c>
      <c r="E257">
        <v>86</v>
      </c>
      <c r="F257">
        <v>70</v>
      </c>
      <c r="G257" s="1">
        <v>500</v>
      </c>
      <c r="H257" s="1">
        <v>0</v>
      </c>
      <c r="I257" s="1">
        <v>0</v>
      </c>
      <c r="J257" s="1">
        <v>0</v>
      </c>
    </row>
    <row r="258" spans="1:10" x14ac:dyDescent="0.3">
      <c r="A258" t="s">
        <v>16</v>
      </c>
      <c r="B258" t="s">
        <v>5</v>
      </c>
      <c r="C258" t="s">
        <v>193</v>
      </c>
      <c r="D258" t="s">
        <v>38</v>
      </c>
      <c r="E258">
        <v>86</v>
      </c>
      <c r="F258">
        <v>70</v>
      </c>
      <c r="G258" s="1">
        <v>500</v>
      </c>
      <c r="H258" s="1">
        <v>0</v>
      </c>
      <c r="I258" s="1">
        <v>0</v>
      </c>
      <c r="J258" s="1">
        <v>0</v>
      </c>
    </row>
    <row r="259" spans="1:10" x14ac:dyDescent="0.3">
      <c r="A259" t="s">
        <v>16</v>
      </c>
      <c r="B259" t="s">
        <v>4</v>
      </c>
      <c r="C259" t="s">
        <v>193</v>
      </c>
      <c r="D259" t="s">
        <v>38</v>
      </c>
      <c r="E259">
        <v>86</v>
      </c>
      <c r="F259">
        <v>70</v>
      </c>
      <c r="G259" s="1">
        <v>500</v>
      </c>
      <c r="H259" s="1">
        <v>0</v>
      </c>
      <c r="I259" s="1">
        <v>0</v>
      </c>
      <c r="J259" s="1">
        <v>0</v>
      </c>
    </row>
    <row r="260" spans="1:10" x14ac:dyDescent="0.3">
      <c r="A260" t="s">
        <v>16</v>
      </c>
      <c r="B260" t="s">
        <v>3</v>
      </c>
      <c r="C260" t="s">
        <v>193</v>
      </c>
      <c r="D260" t="s">
        <v>38</v>
      </c>
      <c r="E260">
        <v>86</v>
      </c>
      <c r="F260">
        <v>70</v>
      </c>
      <c r="G260" s="1">
        <v>500</v>
      </c>
      <c r="H260" s="1">
        <v>0</v>
      </c>
      <c r="I260" s="1">
        <v>0</v>
      </c>
      <c r="J260" s="1">
        <v>0</v>
      </c>
    </row>
    <row r="261" spans="1:10" x14ac:dyDescent="0.3">
      <c r="A261" t="s">
        <v>16</v>
      </c>
      <c r="B261" t="s">
        <v>0</v>
      </c>
      <c r="C261" t="s">
        <v>193</v>
      </c>
      <c r="D261" t="s">
        <v>38</v>
      </c>
      <c r="E261">
        <v>86</v>
      </c>
      <c r="F261">
        <v>70</v>
      </c>
      <c r="G261" s="1">
        <v>550</v>
      </c>
      <c r="H261" s="1">
        <v>200</v>
      </c>
      <c r="I261" s="1">
        <v>180</v>
      </c>
      <c r="J261" s="1">
        <v>900</v>
      </c>
    </row>
    <row r="262" spans="1:10" x14ac:dyDescent="0.3">
      <c r="A262" t="s">
        <v>16</v>
      </c>
      <c r="B262" t="s">
        <v>18</v>
      </c>
      <c r="C262" t="s">
        <v>193</v>
      </c>
      <c r="D262" t="s">
        <v>75</v>
      </c>
      <c r="E262">
        <v>86</v>
      </c>
      <c r="F262">
        <v>77</v>
      </c>
      <c r="G262" s="1">
        <v>1000</v>
      </c>
      <c r="H262" s="1">
        <v>600</v>
      </c>
      <c r="I262" s="1">
        <v>720</v>
      </c>
      <c r="J262" s="1">
        <v>1200</v>
      </c>
    </row>
    <row r="263" spans="1:10" x14ac:dyDescent="0.3">
      <c r="A263" t="s">
        <v>16</v>
      </c>
      <c r="B263" t="s">
        <v>12</v>
      </c>
      <c r="C263" t="s">
        <v>193</v>
      </c>
      <c r="D263" t="s">
        <v>75</v>
      </c>
      <c r="E263">
        <v>86</v>
      </c>
      <c r="F263">
        <v>77</v>
      </c>
      <c r="G263" s="1">
        <v>1000</v>
      </c>
      <c r="H263" s="1">
        <v>0</v>
      </c>
      <c r="I263" s="1">
        <v>0</v>
      </c>
      <c r="J263" s="1">
        <v>0</v>
      </c>
    </row>
    <row r="264" spans="1:10" x14ac:dyDescent="0.3">
      <c r="A264" t="s">
        <v>16</v>
      </c>
      <c r="B264" t="s">
        <v>9</v>
      </c>
      <c r="C264" t="s">
        <v>193</v>
      </c>
      <c r="D264" t="s">
        <v>75</v>
      </c>
      <c r="E264">
        <v>86</v>
      </c>
      <c r="F264">
        <v>77</v>
      </c>
      <c r="G264" s="1">
        <v>1600</v>
      </c>
      <c r="H264" s="1">
        <v>0</v>
      </c>
      <c r="I264" s="1">
        <v>0</v>
      </c>
      <c r="J264" s="1">
        <v>0</v>
      </c>
    </row>
    <row r="265" spans="1:10" x14ac:dyDescent="0.3">
      <c r="A265" t="s">
        <v>16</v>
      </c>
      <c r="B265" t="s">
        <v>8</v>
      </c>
      <c r="C265" t="s">
        <v>193</v>
      </c>
      <c r="D265" t="s">
        <v>75</v>
      </c>
      <c r="E265">
        <v>86</v>
      </c>
      <c r="F265">
        <v>77</v>
      </c>
      <c r="G265" s="1">
        <v>1400</v>
      </c>
      <c r="H265" s="1">
        <v>100</v>
      </c>
      <c r="I265" s="1">
        <v>150</v>
      </c>
      <c r="J265" s="1">
        <v>1500</v>
      </c>
    </row>
    <row r="266" spans="1:10" x14ac:dyDescent="0.3">
      <c r="A266" t="s">
        <v>16</v>
      </c>
      <c r="B266" t="s">
        <v>7</v>
      </c>
      <c r="C266" t="s">
        <v>193</v>
      </c>
      <c r="D266" t="s">
        <v>75</v>
      </c>
      <c r="E266">
        <v>86</v>
      </c>
      <c r="F266">
        <v>77</v>
      </c>
      <c r="G266" s="1">
        <v>1400</v>
      </c>
      <c r="H266" s="1">
        <v>310</v>
      </c>
      <c r="I266" s="1">
        <v>155</v>
      </c>
      <c r="J266" s="1">
        <v>500</v>
      </c>
    </row>
    <row r="267" spans="1:10" x14ac:dyDescent="0.3">
      <c r="A267" t="s">
        <v>16</v>
      </c>
      <c r="B267" t="s">
        <v>6</v>
      </c>
      <c r="C267" t="s">
        <v>193</v>
      </c>
      <c r="D267" t="s">
        <v>75</v>
      </c>
      <c r="E267">
        <v>86</v>
      </c>
      <c r="F267">
        <v>77</v>
      </c>
      <c r="G267" s="1">
        <v>1680</v>
      </c>
      <c r="H267" s="1">
        <v>240</v>
      </c>
      <c r="I267" s="1">
        <v>240</v>
      </c>
      <c r="J267" s="1">
        <v>1000</v>
      </c>
    </row>
    <row r="268" spans="1:10" x14ac:dyDescent="0.3">
      <c r="A268" t="s">
        <v>16</v>
      </c>
      <c r="B268" t="s">
        <v>5</v>
      </c>
      <c r="C268" t="s">
        <v>193</v>
      </c>
      <c r="D268" t="s">
        <v>75</v>
      </c>
      <c r="E268">
        <v>86</v>
      </c>
      <c r="F268">
        <v>77</v>
      </c>
      <c r="G268" s="1">
        <v>1680</v>
      </c>
      <c r="H268" s="1">
        <v>0</v>
      </c>
      <c r="I268" s="1">
        <v>0</v>
      </c>
      <c r="J268" s="1">
        <v>0</v>
      </c>
    </row>
    <row r="269" spans="1:10" x14ac:dyDescent="0.3">
      <c r="A269" t="s">
        <v>16</v>
      </c>
      <c r="B269" t="s">
        <v>4</v>
      </c>
      <c r="C269" t="s">
        <v>193</v>
      </c>
      <c r="D269" t="s">
        <v>75</v>
      </c>
      <c r="E269">
        <v>86</v>
      </c>
      <c r="F269">
        <v>77</v>
      </c>
      <c r="G269" s="1">
        <v>1680</v>
      </c>
      <c r="H269" s="1">
        <v>300</v>
      </c>
      <c r="I269" s="1">
        <v>300</v>
      </c>
      <c r="J269" s="1">
        <v>1000</v>
      </c>
    </row>
    <row r="270" spans="1:10" x14ac:dyDescent="0.3">
      <c r="A270" t="s">
        <v>16</v>
      </c>
      <c r="B270" t="s">
        <v>3</v>
      </c>
      <c r="C270" t="s">
        <v>193</v>
      </c>
      <c r="D270" t="s">
        <v>75</v>
      </c>
      <c r="E270">
        <v>86</v>
      </c>
      <c r="F270">
        <v>77</v>
      </c>
      <c r="G270" s="1">
        <v>1700</v>
      </c>
      <c r="H270" s="1">
        <v>150</v>
      </c>
      <c r="I270" s="1">
        <v>105</v>
      </c>
      <c r="J270" s="1">
        <v>700</v>
      </c>
    </row>
    <row r="271" spans="1:10" x14ac:dyDescent="0.3">
      <c r="A271" t="s">
        <v>16</v>
      </c>
      <c r="B271" t="s">
        <v>0</v>
      </c>
      <c r="C271" t="s">
        <v>193</v>
      </c>
      <c r="D271" t="s">
        <v>75</v>
      </c>
      <c r="E271">
        <v>86</v>
      </c>
      <c r="F271">
        <v>77</v>
      </c>
      <c r="G271" s="1">
        <v>1900</v>
      </c>
      <c r="H271" s="1">
        <v>540</v>
      </c>
      <c r="I271" s="1">
        <v>972</v>
      </c>
      <c r="J271" s="1">
        <v>1800</v>
      </c>
    </row>
    <row r="272" spans="1:10" x14ac:dyDescent="0.3">
      <c r="A272" t="s">
        <v>16</v>
      </c>
      <c r="B272" t="s">
        <v>17</v>
      </c>
      <c r="C272" t="s">
        <v>193</v>
      </c>
      <c r="D272" t="s">
        <v>70</v>
      </c>
      <c r="E272">
        <v>86</v>
      </c>
      <c r="F272">
        <v>91</v>
      </c>
      <c r="G272" s="1">
        <v>1000</v>
      </c>
      <c r="H272" s="1">
        <v>0</v>
      </c>
      <c r="I272" s="1">
        <v>0</v>
      </c>
      <c r="J272" s="1">
        <v>0</v>
      </c>
    </row>
    <row r="273" spans="1:10" x14ac:dyDescent="0.3">
      <c r="A273" t="s">
        <v>16</v>
      </c>
      <c r="B273" t="s">
        <v>12</v>
      </c>
      <c r="C273" t="s">
        <v>193</v>
      </c>
      <c r="D273" t="s">
        <v>70</v>
      </c>
      <c r="E273">
        <v>86</v>
      </c>
      <c r="F273">
        <v>91</v>
      </c>
      <c r="G273" s="1">
        <v>500</v>
      </c>
      <c r="H273" s="1">
        <v>0</v>
      </c>
      <c r="I273" s="1">
        <v>0</v>
      </c>
      <c r="J273" s="1">
        <v>0</v>
      </c>
    </row>
    <row r="274" spans="1:10" x14ac:dyDescent="0.3">
      <c r="A274" t="s">
        <v>16</v>
      </c>
      <c r="B274" t="s">
        <v>9</v>
      </c>
      <c r="C274" t="s">
        <v>193</v>
      </c>
      <c r="D274" t="s">
        <v>70</v>
      </c>
      <c r="E274">
        <v>86</v>
      </c>
      <c r="F274">
        <v>91</v>
      </c>
      <c r="G274" s="1">
        <v>1000</v>
      </c>
      <c r="H274" s="1">
        <v>200</v>
      </c>
      <c r="I274" s="1">
        <v>200</v>
      </c>
      <c r="J274" s="1">
        <v>1000</v>
      </c>
    </row>
    <row r="275" spans="1:10" x14ac:dyDescent="0.3">
      <c r="A275" t="s">
        <v>16</v>
      </c>
      <c r="B275" t="s">
        <v>8</v>
      </c>
      <c r="C275" t="s">
        <v>193</v>
      </c>
      <c r="D275" t="s">
        <v>70</v>
      </c>
      <c r="E275">
        <v>86</v>
      </c>
      <c r="F275">
        <v>91</v>
      </c>
      <c r="G275" s="1">
        <v>1200</v>
      </c>
      <c r="H275" s="1">
        <v>0</v>
      </c>
      <c r="I275" s="1">
        <v>0</v>
      </c>
      <c r="J275" s="1">
        <v>0</v>
      </c>
    </row>
    <row r="276" spans="1:10" x14ac:dyDescent="0.3">
      <c r="A276" t="s">
        <v>16</v>
      </c>
      <c r="B276" t="s">
        <v>7</v>
      </c>
      <c r="C276" t="s">
        <v>193</v>
      </c>
      <c r="D276" t="s">
        <v>70</v>
      </c>
      <c r="E276">
        <v>86</v>
      </c>
      <c r="F276">
        <v>91</v>
      </c>
      <c r="G276" s="1">
        <v>1200</v>
      </c>
      <c r="H276" s="1">
        <v>0</v>
      </c>
      <c r="I276" s="1">
        <v>0</v>
      </c>
      <c r="J276" s="1">
        <v>0</v>
      </c>
    </row>
    <row r="277" spans="1:10" x14ac:dyDescent="0.3">
      <c r="A277" t="s">
        <v>16</v>
      </c>
      <c r="B277" t="s">
        <v>6</v>
      </c>
      <c r="C277" t="s">
        <v>193</v>
      </c>
      <c r="D277" t="s">
        <v>70</v>
      </c>
      <c r="E277">
        <v>86</v>
      </c>
      <c r="F277">
        <v>91</v>
      </c>
      <c r="G277" s="1">
        <v>1200</v>
      </c>
      <c r="H277" s="1">
        <v>200</v>
      </c>
      <c r="I277" s="1">
        <v>400</v>
      </c>
      <c r="J277" s="1">
        <v>2000</v>
      </c>
    </row>
    <row r="278" spans="1:10" x14ac:dyDescent="0.3">
      <c r="A278" t="s">
        <v>16</v>
      </c>
      <c r="B278" t="s">
        <v>5</v>
      </c>
      <c r="C278" t="s">
        <v>193</v>
      </c>
      <c r="D278" t="s">
        <v>70</v>
      </c>
      <c r="E278">
        <v>86</v>
      </c>
      <c r="F278">
        <v>91</v>
      </c>
      <c r="G278" s="1">
        <v>1000</v>
      </c>
      <c r="H278" s="1">
        <v>0</v>
      </c>
      <c r="I278" s="1">
        <v>0</v>
      </c>
      <c r="J278" s="1">
        <v>0</v>
      </c>
    </row>
    <row r="279" spans="1:10" x14ac:dyDescent="0.3">
      <c r="A279" t="s">
        <v>16</v>
      </c>
      <c r="B279" t="s">
        <v>4</v>
      </c>
      <c r="C279" t="s">
        <v>193</v>
      </c>
      <c r="D279" t="s">
        <v>70</v>
      </c>
      <c r="E279">
        <v>86</v>
      </c>
      <c r="F279">
        <v>91</v>
      </c>
      <c r="G279" s="1">
        <v>1000</v>
      </c>
      <c r="H279" s="1">
        <v>0</v>
      </c>
      <c r="I279" s="1">
        <v>0</v>
      </c>
      <c r="J279" s="1">
        <v>0</v>
      </c>
    </row>
    <row r="280" spans="1:10" x14ac:dyDescent="0.3">
      <c r="A280" t="s">
        <v>16</v>
      </c>
      <c r="B280" t="s">
        <v>3</v>
      </c>
      <c r="C280" t="s">
        <v>193</v>
      </c>
      <c r="D280" t="s">
        <v>70</v>
      </c>
      <c r="E280">
        <v>86</v>
      </c>
      <c r="F280">
        <v>91</v>
      </c>
      <c r="G280" s="1">
        <v>1000</v>
      </c>
      <c r="H280" s="1">
        <v>0</v>
      </c>
      <c r="I280" s="1">
        <v>0</v>
      </c>
      <c r="J280" s="1">
        <v>0</v>
      </c>
    </row>
    <row r="281" spans="1:10" x14ac:dyDescent="0.3">
      <c r="A281" t="s">
        <v>16</v>
      </c>
      <c r="B281" t="s">
        <v>0</v>
      </c>
      <c r="C281" t="s">
        <v>193</v>
      </c>
      <c r="D281" t="s">
        <v>70</v>
      </c>
      <c r="E281">
        <v>86</v>
      </c>
      <c r="F281">
        <v>91</v>
      </c>
      <c r="G281" s="1">
        <v>1200</v>
      </c>
      <c r="H281" s="1">
        <v>400</v>
      </c>
      <c r="I281" s="1">
        <v>360</v>
      </c>
      <c r="J281" s="1">
        <v>900</v>
      </c>
    </row>
    <row r="282" spans="1:10" x14ac:dyDescent="0.3">
      <c r="A282" t="s">
        <v>16</v>
      </c>
      <c r="B282" t="s">
        <v>12</v>
      </c>
      <c r="C282" t="s">
        <v>193</v>
      </c>
      <c r="D282" t="s">
        <v>69</v>
      </c>
      <c r="E282">
        <v>86</v>
      </c>
      <c r="F282">
        <v>98</v>
      </c>
      <c r="G282" s="1">
        <v>1100</v>
      </c>
      <c r="H282" s="1">
        <v>0</v>
      </c>
      <c r="I282" s="1">
        <v>0</v>
      </c>
      <c r="J282" s="1">
        <v>0</v>
      </c>
    </row>
    <row r="283" spans="1:10" x14ac:dyDescent="0.3">
      <c r="A283" t="s">
        <v>16</v>
      </c>
      <c r="B283" t="s">
        <v>9</v>
      </c>
      <c r="C283" t="s">
        <v>193</v>
      </c>
      <c r="D283" t="s">
        <v>69</v>
      </c>
      <c r="E283">
        <v>86</v>
      </c>
      <c r="F283">
        <v>98</v>
      </c>
      <c r="G283" s="1">
        <v>1200</v>
      </c>
      <c r="H283" s="1">
        <v>0</v>
      </c>
      <c r="I283" s="1">
        <v>0</v>
      </c>
      <c r="J283" s="1">
        <v>0</v>
      </c>
    </row>
    <row r="284" spans="1:10" x14ac:dyDescent="0.3">
      <c r="A284" t="s">
        <v>16</v>
      </c>
      <c r="B284" t="s">
        <v>8</v>
      </c>
      <c r="C284" t="s">
        <v>193</v>
      </c>
      <c r="D284" t="s">
        <v>69</v>
      </c>
      <c r="E284">
        <v>86</v>
      </c>
      <c r="F284">
        <v>98</v>
      </c>
      <c r="G284" s="1">
        <v>1200</v>
      </c>
      <c r="H284" s="1">
        <v>230</v>
      </c>
      <c r="I284" s="1">
        <v>345</v>
      </c>
      <c r="J284" s="1">
        <v>1500</v>
      </c>
    </row>
    <row r="285" spans="1:10" x14ac:dyDescent="0.3">
      <c r="A285" t="s">
        <v>16</v>
      </c>
      <c r="B285" t="s">
        <v>7</v>
      </c>
      <c r="C285" t="s">
        <v>193</v>
      </c>
      <c r="D285" t="s">
        <v>69</v>
      </c>
      <c r="E285">
        <v>86</v>
      </c>
      <c r="F285">
        <v>98</v>
      </c>
      <c r="G285" s="1">
        <v>1200</v>
      </c>
      <c r="H285" s="1">
        <v>270</v>
      </c>
      <c r="I285" s="1">
        <v>135</v>
      </c>
      <c r="J285" s="1">
        <v>500</v>
      </c>
    </row>
    <row r="286" spans="1:10" x14ac:dyDescent="0.3">
      <c r="A286" t="s">
        <v>16</v>
      </c>
      <c r="B286" t="s">
        <v>6</v>
      </c>
      <c r="C286" t="s">
        <v>193</v>
      </c>
      <c r="D286" t="s">
        <v>69</v>
      </c>
      <c r="E286">
        <v>86</v>
      </c>
      <c r="F286">
        <v>98</v>
      </c>
      <c r="G286" s="1">
        <v>1700</v>
      </c>
      <c r="H286" s="1">
        <v>70</v>
      </c>
      <c r="I286" s="1">
        <v>70</v>
      </c>
      <c r="J286" s="1">
        <v>1000</v>
      </c>
    </row>
    <row r="287" spans="1:10" x14ac:dyDescent="0.3">
      <c r="A287" t="s">
        <v>16</v>
      </c>
      <c r="B287" t="s">
        <v>5</v>
      </c>
      <c r="C287" t="s">
        <v>193</v>
      </c>
      <c r="D287" t="s">
        <v>69</v>
      </c>
      <c r="E287">
        <v>86</v>
      </c>
      <c r="F287">
        <v>98</v>
      </c>
      <c r="G287" s="1">
        <v>1700</v>
      </c>
      <c r="H287" s="1">
        <v>0</v>
      </c>
      <c r="I287" s="1">
        <v>0</v>
      </c>
      <c r="J287" s="1">
        <v>0</v>
      </c>
    </row>
    <row r="288" spans="1:10" x14ac:dyDescent="0.3">
      <c r="A288" t="s">
        <v>16</v>
      </c>
      <c r="B288" t="s">
        <v>4</v>
      </c>
      <c r="C288" t="s">
        <v>193</v>
      </c>
      <c r="D288" t="s">
        <v>69</v>
      </c>
      <c r="E288">
        <v>86</v>
      </c>
      <c r="F288">
        <v>98</v>
      </c>
      <c r="G288" s="1">
        <v>1700</v>
      </c>
      <c r="H288" s="1">
        <v>250</v>
      </c>
      <c r="I288" s="1">
        <v>250</v>
      </c>
      <c r="J288" s="1">
        <v>1000</v>
      </c>
    </row>
    <row r="289" spans="1:10" x14ac:dyDescent="0.3">
      <c r="A289" t="s">
        <v>16</v>
      </c>
      <c r="B289" t="s">
        <v>3</v>
      </c>
      <c r="C289" t="s">
        <v>193</v>
      </c>
      <c r="D289" t="s">
        <v>69</v>
      </c>
      <c r="E289">
        <v>86</v>
      </c>
      <c r="F289">
        <v>98</v>
      </c>
      <c r="G289" s="1">
        <v>1650</v>
      </c>
      <c r="H289" s="1">
        <v>150</v>
      </c>
      <c r="I289" s="1">
        <v>105</v>
      </c>
      <c r="J289" s="1">
        <v>700</v>
      </c>
    </row>
    <row r="290" spans="1:10" x14ac:dyDescent="0.3">
      <c r="A290" t="s">
        <v>16</v>
      </c>
      <c r="B290" t="s">
        <v>0</v>
      </c>
      <c r="C290" t="s">
        <v>193</v>
      </c>
      <c r="D290" t="s">
        <v>69</v>
      </c>
      <c r="E290">
        <v>86</v>
      </c>
      <c r="F290">
        <v>98</v>
      </c>
      <c r="G290" s="1">
        <v>2850</v>
      </c>
      <c r="H290" s="1">
        <v>1530</v>
      </c>
      <c r="I290" s="1">
        <v>2601</v>
      </c>
      <c r="J290" s="1">
        <v>1700</v>
      </c>
    </row>
    <row r="291" spans="1:10" x14ac:dyDescent="0.3">
      <c r="A291" t="s">
        <v>16</v>
      </c>
      <c r="B291" t="s">
        <v>12</v>
      </c>
      <c r="C291" t="s">
        <v>193</v>
      </c>
      <c r="D291" t="s">
        <v>31</v>
      </c>
      <c r="E291">
        <v>86</v>
      </c>
      <c r="F291">
        <v>105</v>
      </c>
      <c r="G291" s="1">
        <v>200</v>
      </c>
      <c r="H291" s="1">
        <v>0</v>
      </c>
      <c r="I291" s="1">
        <v>0</v>
      </c>
      <c r="J291" s="1">
        <v>0</v>
      </c>
    </row>
    <row r="292" spans="1:10" x14ac:dyDescent="0.3">
      <c r="A292" t="s">
        <v>16</v>
      </c>
      <c r="B292" t="s">
        <v>9</v>
      </c>
      <c r="C292" t="s">
        <v>193</v>
      </c>
      <c r="D292" t="s">
        <v>31</v>
      </c>
      <c r="E292">
        <v>86</v>
      </c>
      <c r="F292">
        <v>105</v>
      </c>
      <c r="G292" s="1">
        <v>300</v>
      </c>
      <c r="H292" s="1">
        <v>0</v>
      </c>
      <c r="I292" s="1">
        <v>0</v>
      </c>
      <c r="J292" s="1">
        <v>0</v>
      </c>
    </row>
    <row r="293" spans="1:10" x14ac:dyDescent="0.3">
      <c r="A293" t="s">
        <v>16</v>
      </c>
      <c r="B293" t="s">
        <v>8</v>
      </c>
      <c r="C293" t="s">
        <v>193</v>
      </c>
      <c r="D293" t="s">
        <v>31</v>
      </c>
      <c r="E293">
        <v>86</v>
      </c>
      <c r="F293">
        <v>105</v>
      </c>
      <c r="G293" s="1">
        <v>500</v>
      </c>
      <c r="H293" s="1">
        <v>0</v>
      </c>
      <c r="I293" s="1">
        <v>0</v>
      </c>
      <c r="J293" s="1">
        <v>0</v>
      </c>
    </row>
    <row r="294" spans="1:10" x14ac:dyDescent="0.3">
      <c r="A294" t="s">
        <v>16</v>
      </c>
      <c r="B294" t="s">
        <v>7</v>
      </c>
      <c r="C294" t="s">
        <v>193</v>
      </c>
      <c r="D294" t="s">
        <v>31</v>
      </c>
      <c r="E294">
        <v>86</v>
      </c>
      <c r="F294">
        <v>105</v>
      </c>
      <c r="G294" s="1">
        <v>500</v>
      </c>
      <c r="H294" s="1">
        <v>0</v>
      </c>
      <c r="I294" s="1">
        <v>0</v>
      </c>
      <c r="J294" s="1">
        <v>0</v>
      </c>
    </row>
    <row r="295" spans="1:10" x14ac:dyDescent="0.3">
      <c r="A295" t="s">
        <v>16</v>
      </c>
      <c r="B295" t="s">
        <v>6</v>
      </c>
      <c r="C295" t="s">
        <v>193</v>
      </c>
      <c r="D295" t="s">
        <v>31</v>
      </c>
      <c r="E295">
        <v>86</v>
      </c>
      <c r="F295">
        <v>105</v>
      </c>
      <c r="G295" s="1">
        <v>500</v>
      </c>
      <c r="H295" s="1">
        <v>0</v>
      </c>
      <c r="I295" s="1">
        <v>0</v>
      </c>
      <c r="J295" s="1">
        <v>0</v>
      </c>
    </row>
    <row r="296" spans="1:10" x14ac:dyDescent="0.3">
      <c r="A296" t="s">
        <v>16</v>
      </c>
      <c r="B296" t="s">
        <v>5</v>
      </c>
      <c r="C296" t="s">
        <v>193</v>
      </c>
      <c r="D296" t="s">
        <v>31</v>
      </c>
      <c r="E296">
        <v>86</v>
      </c>
      <c r="F296">
        <v>105</v>
      </c>
      <c r="G296" s="1">
        <v>500</v>
      </c>
      <c r="H296" s="1">
        <v>0</v>
      </c>
      <c r="I296" s="1">
        <v>0</v>
      </c>
      <c r="J296" s="1">
        <v>0</v>
      </c>
    </row>
    <row r="297" spans="1:10" x14ac:dyDescent="0.3">
      <c r="A297" t="s">
        <v>16</v>
      </c>
      <c r="B297" t="s">
        <v>4</v>
      </c>
      <c r="C297" t="s">
        <v>193</v>
      </c>
      <c r="D297" t="s">
        <v>31</v>
      </c>
      <c r="E297">
        <v>86</v>
      </c>
      <c r="F297">
        <v>105</v>
      </c>
      <c r="G297" s="1">
        <v>500</v>
      </c>
      <c r="H297" s="1">
        <v>0</v>
      </c>
      <c r="I297" s="1">
        <v>0</v>
      </c>
      <c r="J297" s="1">
        <v>0</v>
      </c>
    </row>
    <row r="298" spans="1:10" x14ac:dyDescent="0.3">
      <c r="A298" t="s">
        <v>16</v>
      </c>
      <c r="B298" t="s">
        <v>3</v>
      </c>
      <c r="C298" t="s">
        <v>193</v>
      </c>
      <c r="D298" t="s">
        <v>31</v>
      </c>
      <c r="E298">
        <v>86</v>
      </c>
      <c r="F298">
        <v>105</v>
      </c>
      <c r="G298" s="1">
        <v>500</v>
      </c>
      <c r="H298" s="1">
        <v>0</v>
      </c>
      <c r="I298" s="1">
        <v>0</v>
      </c>
      <c r="J298" s="1">
        <v>0</v>
      </c>
    </row>
    <row r="299" spans="1:10" x14ac:dyDescent="0.3">
      <c r="A299" t="s">
        <v>16</v>
      </c>
      <c r="B299" t="s">
        <v>0</v>
      </c>
      <c r="C299" t="s">
        <v>193</v>
      </c>
      <c r="D299" t="s">
        <v>31</v>
      </c>
      <c r="E299">
        <v>86</v>
      </c>
      <c r="F299">
        <v>105</v>
      </c>
      <c r="G299" s="1">
        <v>500</v>
      </c>
      <c r="H299" s="1">
        <v>60</v>
      </c>
      <c r="I299" s="1">
        <v>54</v>
      </c>
      <c r="J299" s="1">
        <v>900</v>
      </c>
    </row>
    <row r="300" spans="1:10" x14ac:dyDescent="0.3">
      <c r="A300" t="s">
        <v>16</v>
      </c>
      <c r="B300" t="s">
        <v>7</v>
      </c>
      <c r="C300" t="s">
        <v>193</v>
      </c>
      <c r="D300" t="s">
        <v>56</v>
      </c>
      <c r="E300">
        <v>86</v>
      </c>
      <c r="F300">
        <v>112</v>
      </c>
      <c r="G300" s="1">
        <v>500</v>
      </c>
      <c r="H300" s="1">
        <v>0</v>
      </c>
      <c r="I300" s="1">
        <v>0</v>
      </c>
      <c r="J300" s="1">
        <v>0</v>
      </c>
    </row>
    <row r="301" spans="1:10" x14ac:dyDescent="0.3">
      <c r="A301" t="s">
        <v>16</v>
      </c>
      <c r="B301" t="s">
        <v>6</v>
      </c>
      <c r="C301" t="s">
        <v>193</v>
      </c>
      <c r="D301" t="s">
        <v>56</v>
      </c>
      <c r="E301">
        <v>86</v>
      </c>
      <c r="F301">
        <v>112</v>
      </c>
      <c r="G301" s="1">
        <v>500</v>
      </c>
      <c r="H301" s="1">
        <v>0</v>
      </c>
      <c r="I301" s="1">
        <v>0</v>
      </c>
      <c r="J301" s="1">
        <v>0</v>
      </c>
    </row>
    <row r="302" spans="1:10" x14ac:dyDescent="0.3">
      <c r="A302" t="s">
        <v>16</v>
      </c>
      <c r="B302" t="s">
        <v>5</v>
      </c>
      <c r="C302" t="s">
        <v>193</v>
      </c>
      <c r="D302" t="s">
        <v>56</v>
      </c>
      <c r="E302">
        <v>86</v>
      </c>
      <c r="F302">
        <v>112</v>
      </c>
      <c r="G302" s="1">
        <v>500</v>
      </c>
      <c r="H302" s="1">
        <v>0</v>
      </c>
      <c r="I302" s="1">
        <v>0</v>
      </c>
      <c r="J302" s="1">
        <v>0</v>
      </c>
    </row>
    <row r="303" spans="1:10" x14ac:dyDescent="0.3">
      <c r="A303" t="s">
        <v>16</v>
      </c>
      <c r="B303" t="s">
        <v>12</v>
      </c>
      <c r="C303" t="s">
        <v>193</v>
      </c>
      <c r="D303" t="s">
        <v>72</v>
      </c>
      <c r="E303">
        <v>86</v>
      </c>
      <c r="F303">
        <v>119</v>
      </c>
      <c r="G303" s="1">
        <v>2700</v>
      </c>
      <c r="H303" s="1">
        <v>0</v>
      </c>
      <c r="I303" s="1">
        <v>0</v>
      </c>
      <c r="J303" s="1">
        <v>0</v>
      </c>
    </row>
    <row r="304" spans="1:10" x14ac:dyDescent="0.3">
      <c r="A304" t="s">
        <v>16</v>
      </c>
      <c r="B304" t="s">
        <v>9</v>
      </c>
      <c r="C304" t="s">
        <v>193</v>
      </c>
      <c r="D304" t="s">
        <v>72</v>
      </c>
      <c r="E304">
        <v>86</v>
      </c>
      <c r="F304">
        <v>119</v>
      </c>
      <c r="G304" s="1">
        <v>2000</v>
      </c>
      <c r="H304" s="1">
        <v>0</v>
      </c>
      <c r="I304" s="1">
        <v>0</v>
      </c>
      <c r="J304" s="1">
        <v>0</v>
      </c>
    </row>
    <row r="305" spans="1:10" x14ac:dyDescent="0.3">
      <c r="A305" t="s">
        <v>16</v>
      </c>
      <c r="B305" t="s">
        <v>8</v>
      </c>
      <c r="C305" t="s">
        <v>193</v>
      </c>
      <c r="D305" t="s">
        <v>72</v>
      </c>
      <c r="E305">
        <v>86</v>
      </c>
      <c r="F305">
        <v>119</v>
      </c>
      <c r="G305" s="1">
        <v>1800</v>
      </c>
      <c r="H305" s="1">
        <v>360</v>
      </c>
      <c r="I305" s="1">
        <v>540</v>
      </c>
      <c r="J305" s="1">
        <v>1500</v>
      </c>
    </row>
    <row r="306" spans="1:10" x14ac:dyDescent="0.3">
      <c r="A306" t="s">
        <v>16</v>
      </c>
      <c r="B306" t="s">
        <v>7</v>
      </c>
      <c r="C306" t="s">
        <v>193</v>
      </c>
      <c r="D306" t="s">
        <v>72</v>
      </c>
      <c r="E306">
        <v>86</v>
      </c>
      <c r="F306">
        <v>119</v>
      </c>
      <c r="G306" s="1">
        <v>1700</v>
      </c>
      <c r="H306" s="1">
        <v>180</v>
      </c>
      <c r="I306" s="1">
        <v>0</v>
      </c>
      <c r="J306" s="1">
        <v>0</v>
      </c>
    </row>
    <row r="307" spans="1:10" x14ac:dyDescent="0.3">
      <c r="A307" t="s">
        <v>16</v>
      </c>
      <c r="B307" t="s">
        <v>6</v>
      </c>
      <c r="C307" t="s">
        <v>193</v>
      </c>
      <c r="D307" t="s">
        <v>72</v>
      </c>
      <c r="E307">
        <v>86</v>
      </c>
      <c r="F307">
        <v>119</v>
      </c>
      <c r="G307" s="1">
        <v>2380</v>
      </c>
      <c r="H307" s="1">
        <v>440</v>
      </c>
      <c r="I307" s="1">
        <v>440</v>
      </c>
      <c r="J307" s="1">
        <v>1000</v>
      </c>
    </row>
    <row r="308" spans="1:10" x14ac:dyDescent="0.3">
      <c r="A308" t="s">
        <v>16</v>
      </c>
      <c r="B308" t="s">
        <v>5</v>
      </c>
      <c r="C308" t="s">
        <v>193</v>
      </c>
      <c r="D308" t="s">
        <v>72</v>
      </c>
      <c r="E308">
        <v>86</v>
      </c>
      <c r="F308">
        <v>119</v>
      </c>
      <c r="G308" s="1">
        <v>2380</v>
      </c>
      <c r="H308" s="1">
        <v>0</v>
      </c>
      <c r="I308" s="1">
        <v>0</v>
      </c>
      <c r="J308" s="1">
        <v>0</v>
      </c>
    </row>
    <row r="309" spans="1:10" x14ac:dyDescent="0.3">
      <c r="A309" t="s">
        <v>16</v>
      </c>
      <c r="B309" t="s">
        <v>4</v>
      </c>
      <c r="C309" t="s">
        <v>193</v>
      </c>
      <c r="D309" t="s">
        <v>72</v>
      </c>
      <c r="E309">
        <v>86</v>
      </c>
      <c r="F309">
        <v>119</v>
      </c>
      <c r="G309" s="1">
        <v>2380</v>
      </c>
      <c r="H309" s="1">
        <v>410</v>
      </c>
      <c r="I309" s="1">
        <v>410</v>
      </c>
      <c r="J309" s="1">
        <v>1000</v>
      </c>
    </row>
    <row r="310" spans="1:10" x14ac:dyDescent="0.3">
      <c r="A310" t="s">
        <v>16</v>
      </c>
      <c r="B310" t="s">
        <v>3</v>
      </c>
      <c r="C310" t="s">
        <v>193</v>
      </c>
      <c r="D310" t="s">
        <v>72</v>
      </c>
      <c r="E310">
        <v>86</v>
      </c>
      <c r="F310">
        <v>119</v>
      </c>
      <c r="G310" s="1">
        <v>2320</v>
      </c>
      <c r="H310" s="1">
        <v>70</v>
      </c>
      <c r="I310" s="1">
        <v>49</v>
      </c>
      <c r="J310" s="1">
        <v>700</v>
      </c>
    </row>
    <row r="311" spans="1:10" x14ac:dyDescent="0.3">
      <c r="A311" t="s">
        <v>16</v>
      </c>
      <c r="B311" t="s">
        <v>0</v>
      </c>
      <c r="C311" t="s">
        <v>193</v>
      </c>
      <c r="D311" t="s">
        <v>72</v>
      </c>
      <c r="E311">
        <v>86</v>
      </c>
      <c r="F311">
        <v>119</v>
      </c>
      <c r="G311" s="1">
        <v>2811</v>
      </c>
      <c r="H311" s="1">
        <v>981</v>
      </c>
      <c r="I311" s="1">
        <v>1962</v>
      </c>
      <c r="J311" s="1">
        <v>2000</v>
      </c>
    </row>
    <row r="312" spans="1:10" x14ac:dyDescent="0.3">
      <c r="A312" t="s">
        <v>16</v>
      </c>
      <c r="B312" t="s">
        <v>18</v>
      </c>
      <c r="C312" t="s">
        <v>193</v>
      </c>
      <c r="D312" t="s">
        <v>68</v>
      </c>
      <c r="E312">
        <v>86</v>
      </c>
      <c r="F312">
        <v>133</v>
      </c>
      <c r="G312" s="1">
        <v>1500</v>
      </c>
      <c r="H312" s="1">
        <v>0</v>
      </c>
      <c r="I312" s="1">
        <v>0</v>
      </c>
      <c r="J312" s="1">
        <v>0</v>
      </c>
    </row>
    <row r="313" spans="1:10" x14ac:dyDescent="0.3">
      <c r="A313" t="s">
        <v>16</v>
      </c>
      <c r="B313" t="s">
        <v>17</v>
      </c>
      <c r="C313" t="s">
        <v>193</v>
      </c>
      <c r="D313" t="s">
        <v>68</v>
      </c>
      <c r="E313">
        <v>86</v>
      </c>
      <c r="F313">
        <v>133</v>
      </c>
      <c r="G313" s="1">
        <v>1000</v>
      </c>
      <c r="H313" s="1">
        <v>0</v>
      </c>
      <c r="I313" s="1">
        <v>0</v>
      </c>
      <c r="J313" s="1">
        <v>0</v>
      </c>
    </row>
    <row r="314" spans="1:10" x14ac:dyDescent="0.3">
      <c r="A314" t="s">
        <v>16</v>
      </c>
      <c r="B314" t="s">
        <v>12</v>
      </c>
      <c r="C314" t="s">
        <v>193</v>
      </c>
      <c r="D314" t="s">
        <v>68</v>
      </c>
      <c r="E314">
        <v>86</v>
      </c>
      <c r="F314">
        <v>133</v>
      </c>
      <c r="G314" s="1">
        <v>500</v>
      </c>
      <c r="H314" s="1">
        <v>0</v>
      </c>
      <c r="I314" s="1">
        <v>0</v>
      </c>
      <c r="J314" s="1">
        <v>0</v>
      </c>
    </row>
    <row r="315" spans="1:10" x14ac:dyDescent="0.3">
      <c r="A315" t="s">
        <v>16</v>
      </c>
      <c r="B315" t="s">
        <v>9</v>
      </c>
      <c r="C315" t="s">
        <v>193</v>
      </c>
      <c r="D315" t="s">
        <v>68</v>
      </c>
      <c r="E315">
        <v>86</v>
      </c>
      <c r="F315">
        <v>133</v>
      </c>
      <c r="G315" s="1">
        <v>500</v>
      </c>
      <c r="H315" s="1">
        <v>0</v>
      </c>
      <c r="I315" s="1">
        <v>0</v>
      </c>
      <c r="J315" s="1">
        <v>0</v>
      </c>
    </row>
    <row r="316" spans="1:10" x14ac:dyDescent="0.3">
      <c r="A316" t="s">
        <v>16</v>
      </c>
      <c r="B316" t="s">
        <v>8</v>
      </c>
      <c r="C316" t="s">
        <v>193</v>
      </c>
      <c r="D316" t="s">
        <v>68</v>
      </c>
      <c r="E316">
        <v>86</v>
      </c>
      <c r="F316">
        <v>133</v>
      </c>
      <c r="G316" s="1">
        <v>600</v>
      </c>
      <c r="H316" s="1">
        <v>0</v>
      </c>
      <c r="I316" s="1">
        <v>0</v>
      </c>
      <c r="J316" s="1">
        <v>0</v>
      </c>
    </row>
    <row r="317" spans="1:10" x14ac:dyDescent="0.3">
      <c r="A317" t="s">
        <v>16</v>
      </c>
      <c r="B317" t="s">
        <v>7</v>
      </c>
      <c r="C317" t="s">
        <v>193</v>
      </c>
      <c r="D317" t="s">
        <v>68</v>
      </c>
      <c r="E317">
        <v>86</v>
      </c>
      <c r="F317">
        <v>133</v>
      </c>
      <c r="G317" s="1">
        <v>1500</v>
      </c>
      <c r="H317" s="1">
        <v>0</v>
      </c>
      <c r="I317" s="1">
        <v>0</v>
      </c>
      <c r="J317" s="1">
        <v>0</v>
      </c>
    </row>
    <row r="318" spans="1:10" x14ac:dyDescent="0.3">
      <c r="A318" t="s">
        <v>16</v>
      </c>
      <c r="B318" t="s">
        <v>6</v>
      </c>
      <c r="C318" t="s">
        <v>193</v>
      </c>
      <c r="D318" t="s">
        <v>68</v>
      </c>
      <c r="E318">
        <v>86</v>
      </c>
      <c r="F318">
        <v>133</v>
      </c>
      <c r="G318" s="1">
        <v>1500</v>
      </c>
      <c r="H318" s="1">
        <v>300</v>
      </c>
      <c r="I318" s="1">
        <v>600</v>
      </c>
      <c r="J318" s="1">
        <v>2000</v>
      </c>
    </row>
    <row r="319" spans="1:10" x14ac:dyDescent="0.3">
      <c r="A319" t="s">
        <v>16</v>
      </c>
      <c r="B319" t="s">
        <v>5</v>
      </c>
      <c r="C319" t="s">
        <v>193</v>
      </c>
      <c r="D319" t="s">
        <v>68</v>
      </c>
      <c r="E319">
        <v>86</v>
      </c>
      <c r="F319">
        <v>133</v>
      </c>
      <c r="G319" s="1">
        <v>1500</v>
      </c>
      <c r="H319" s="1">
        <v>300</v>
      </c>
      <c r="I319" s="1">
        <v>450</v>
      </c>
      <c r="J319" s="1">
        <v>1500</v>
      </c>
    </row>
    <row r="320" spans="1:10" x14ac:dyDescent="0.3">
      <c r="A320" t="s">
        <v>16</v>
      </c>
      <c r="B320" t="s">
        <v>4</v>
      </c>
      <c r="C320" t="s">
        <v>193</v>
      </c>
      <c r="D320" t="s">
        <v>68</v>
      </c>
      <c r="E320">
        <v>86</v>
      </c>
      <c r="F320">
        <v>133</v>
      </c>
      <c r="G320" s="1">
        <v>1500</v>
      </c>
      <c r="H320" s="1">
        <v>300</v>
      </c>
      <c r="I320" s="1">
        <v>450</v>
      </c>
      <c r="J320" s="1">
        <v>1500</v>
      </c>
    </row>
    <row r="321" spans="1:10" x14ac:dyDescent="0.3">
      <c r="A321" t="s">
        <v>16</v>
      </c>
      <c r="B321" t="s">
        <v>3</v>
      </c>
      <c r="C321" t="s">
        <v>193</v>
      </c>
      <c r="D321" t="s">
        <v>68</v>
      </c>
      <c r="E321">
        <v>86</v>
      </c>
      <c r="F321">
        <v>133</v>
      </c>
      <c r="G321" s="1">
        <v>1500</v>
      </c>
      <c r="H321" s="1">
        <v>300</v>
      </c>
      <c r="I321" s="1">
        <v>270</v>
      </c>
      <c r="J321" s="1">
        <v>900</v>
      </c>
    </row>
    <row r="322" spans="1:10" x14ac:dyDescent="0.3">
      <c r="A322" t="s">
        <v>16</v>
      </c>
      <c r="B322" t="s">
        <v>0</v>
      </c>
      <c r="C322" t="s">
        <v>193</v>
      </c>
      <c r="D322" t="s">
        <v>68</v>
      </c>
      <c r="E322">
        <v>86</v>
      </c>
      <c r="F322">
        <v>133</v>
      </c>
      <c r="G322" s="1">
        <v>1500</v>
      </c>
      <c r="H322" s="1">
        <v>120</v>
      </c>
      <c r="I322" s="1">
        <v>108</v>
      </c>
      <c r="J322" s="1">
        <v>900</v>
      </c>
    </row>
    <row r="323" spans="1:10" x14ac:dyDescent="0.3">
      <c r="A323" t="s">
        <v>16</v>
      </c>
      <c r="B323" t="s">
        <v>6</v>
      </c>
      <c r="C323" t="s">
        <v>193</v>
      </c>
      <c r="D323" t="s">
        <v>65</v>
      </c>
      <c r="E323">
        <v>86</v>
      </c>
      <c r="F323">
        <v>147</v>
      </c>
      <c r="G323" s="1">
        <v>500</v>
      </c>
      <c r="H323" s="1">
        <v>200</v>
      </c>
      <c r="I323" s="1">
        <v>360</v>
      </c>
      <c r="J323" s="1">
        <v>1800</v>
      </c>
    </row>
    <row r="324" spans="1:10" x14ac:dyDescent="0.3">
      <c r="A324" t="s">
        <v>16</v>
      </c>
      <c r="B324" t="s">
        <v>5</v>
      </c>
      <c r="C324" t="s">
        <v>193</v>
      </c>
      <c r="D324" t="s">
        <v>65</v>
      </c>
      <c r="E324">
        <v>86</v>
      </c>
      <c r="F324">
        <v>147</v>
      </c>
      <c r="G324" s="1">
        <v>500</v>
      </c>
      <c r="H324" s="1">
        <v>0</v>
      </c>
      <c r="I324" s="1">
        <v>0</v>
      </c>
      <c r="J324" s="1">
        <v>0</v>
      </c>
    </row>
    <row r="325" spans="1:10" x14ac:dyDescent="0.3">
      <c r="A325" t="s">
        <v>16</v>
      </c>
      <c r="B325" t="s">
        <v>4</v>
      </c>
      <c r="C325" t="s">
        <v>193</v>
      </c>
      <c r="D325" t="s">
        <v>65</v>
      </c>
      <c r="E325">
        <v>86</v>
      </c>
      <c r="F325">
        <v>147</v>
      </c>
      <c r="G325" s="1">
        <v>500</v>
      </c>
      <c r="H325" s="1">
        <v>0</v>
      </c>
      <c r="I325" s="1">
        <v>0</v>
      </c>
      <c r="J325" s="1">
        <v>0</v>
      </c>
    </row>
    <row r="326" spans="1:10" x14ac:dyDescent="0.3">
      <c r="A326" t="s">
        <v>16</v>
      </c>
      <c r="B326" t="s">
        <v>3</v>
      </c>
      <c r="C326" t="s">
        <v>193</v>
      </c>
      <c r="D326" t="s">
        <v>65</v>
      </c>
      <c r="E326">
        <v>86</v>
      </c>
      <c r="F326">
        <v>147</v>
      </c>
      <c r="G326" s="1">
        <v>500</v>
      </c>
      <c r="H326" s="1">
        <v>500</v>
      </c>
      <c r="I326" s="1">
        <v>400</v>
      </c>
      <c r="J326" s="1">
        <v>800</v>
      </c>
    </row>
    <row r="327" spans="1:10" x14ac:dyDescent="0.3">
      <c r="A327" t="s">
        <v>16</v>
      </c>
      <c r="B327" t="s">
        <v>0</v>
      </c>
      <c r="C327" t="s">
        <v>193</v>
      </c>
      <c r="D327" t="s">
        <v>65</v>
      </c>
      <c r="E327">
        <v>86</v>
      </c>
      <c r="F327">
        <v>147</v>
      </c>
      <c r="G327" s="1">
        <v>500</v>
      </c>
      <c r="H327" s="1">
        <v>60</v>
      </c>
      <c r="I327" s="1">
        <v>54</v>
      </c>
      <c r="J327" s="1">
        <v>900</v>
      </c>
    </row>
    <row r="328" spans="1:10" x14ac:dyDescent="0.3">
      <c r="A328" t="s">
        <v>16</v>
      </c>
      <c r="B328" t="s">
        <v>18</v>
      </c>
      <c r="C328" t="s">
        <v>193</v>
      </c>
      <c r="D328" t="s">
        <v>58</v>
      </c>
      <c r="E328">
        <v>86</v>
      </c>
      <c r="F328">
        <v>154</v>
      </c>
      <c r="G328" s="1">
        <v>1000</v>
      </c>
      <c r="H328" s="1">
        <v>0</v>
      </c>
      <c r="I328" s="1">
        <v>0</v>
      </c>
      <c r="J328" s="1">
        <v>0</v>
      </c>
    </row>
    <row r="329" spans="1:10" x14ac:dyDescent="0.3">
      <c r="A329" t="s">
        <v>16</v>
      </c>
      <c r="B329" t="s">
        <v>8</v>
      </c>
      <c r="C329" t="s">
        <v>193</v>
      </c>
      <c r="D329" t="s">
        <v>58</v>
      </c>
      <c r="E329">
        <v>86</v>
      </c>
      <c r="F329">
        <v>154</v>
      </c>
      <c r="G329" s="1">
        <v>400</v>
      </c>
      <c r="H329" s="1">
        <v>0</v>
      </c>
      <c r="I329" s="1">
        <v>0</v>
      </c>
      <c r="J329" s="1">
        <v>0</v>
      </c>
    </row>
    <row r="330" spans="1:10" x14ac:dyDescent="0.3">
      <c r="A330" t="s">
        <v>16</v>
      </c>
      <c r="B330" t="s">
        <v>7</v>
      </c>
      <c r="C330" t="s">
        <v>193</v>
      </c>
      <c r="D330" t="s">
        <v>58</v>
      </c>
      <c r="E330">
        <v>86</v>
      </c>
      <c r="F330">
        <v>154</v>
      </c>
      <c r="G330" s="1">
        <v>350</v>
      </c>
      <c r="H330" s="1">
        <v>50</v>
      </c>
      <c r="I330" s="1">
        <v>25</v>
      </c>
      <c r="J330" s="1">
        <v>500</v>
      </c>
    </row>
    <row r="331" spans="1:10" x14ac:dyDescent="0.3">
      <c r="A331" t="s">
        <v>16</v>
      </c>
      <c r="B331" t="s">
        <v>6</v>
      </c>
      <c r="C331" t="s">
        <v>193</v>
      </c>
      <c r="D331" t="s">
        <v>58</v>
      </c>
      <c r="E331">
        <v>86</v>
      </c>
      <c r="F331">
        <v>154</v>
      </c>
      <c r="G331" s="1">
        <v>720</v>
      </c>
      <c r="H331" s="1">
        <v>110</v>
      </c>
      <c r="I331" s="1">
        <v>110</v>
      </c>
      <c r="J331" s="1">
        <v>1000</v>
      </c>
    </row>
    <row r="332" spans="1:10" x14ac:dyDescent="0.3">
      <c r="A332" t="s">
        <v>16</v>
      </c>
      <c r="B332" t="s">
        <v>5</v>
      </c>
      <c r="C332" t="s">
        <v>193</v>
      </c>
      <c r="D332" t="s">
        <v>58</v>
      </c>
      <c r="E332">
        <v>86</v>
      </c>
      <c r="F332">
        <v>154</v>
      </c>
      <c r="G332" s="1">
        <v>420</v>
      </c>
      <c r="H332" s="1">
        <v>0</v>
      </c>
      <c r="I332" s="1">
        <v>0</v>
      </c>
      <c r="J332" s="1">
        <v>0</v>
      </c>
    </row>
    <row r="333" spans="1:10" x14ac:dyDescent="0.3">
      <c r="A333" t="s">
        <v>16</v>
      </c>
      <c r="B333" t="s">
        <v>4</v>
      </c>
      <c r="C333" t="s">
        <v>193</v>
      </c>
      <c r="D333" t="s">
        <v>58</v>
      </c>
      <c r="E333">
        <v>86</v>
      </c>
      <c r="F333">
        <v>154</v>
      </c>
      <c r="G333" s="1">
        <v>420</v>
      </c>
      <c r="H333" s="1">
        <v>160</v>
      </c>
      <c r="I333" s="1">
        <v>160</v>
      </c>
      <c r="J333" s="1">
        <v>1000</v>
      </c>
    </row>
    <row r="334" spans="1:10" x14ac:dyDescent="0.3">
      <c r="A334" t="s">
        <v>16</v>
      </c>
      <c r="B334" t="s">
        <v>3</v>
      </c>
      <c r="C334" t="s">
        <v>193</v>
      </c>
      <c r="D334" t="s">
        <v>58</v>
      </c>
      <c r="E334">
        <v>86</v>
      </c>
      <c r="F334">
        <v>154</v>
      </c>
      <c r="G334" s="1">
        <v>410</v>
      </c>
      <c r="H334" s="1">
        <v>40</v>
      </c>
      <c r="I334" s="1">
        <v>28</v>
      </c>
      <c r="J334" s="1">
        <v>700</v>
      </c>
    </row>
    <row r="335" spans="1:10" x14ac:dyDescent="0.3">
      <c r="A335" t="s">
        <v>16</v>
      </c>
      <c r="B335" t="s">
        <v>0</v>
      </c>
      <c r="C335" t="s">
        <v>193</v>
      </c>
      <c r="D335" t="s">
        <v>58</v>
      </c>
      <c r="E335">
        <v>86</v>
      </c>
      <c r="F335">
        <v>154</v>
      </c>
      <c r="G335" s="1">
        <v>710</v>
      </c>
      <c r="H335" s="1">
        <v>390</v>
      </c>
      <c r="I335" s="1">
        <v>702</v>
      </c>
      <c r="J335" s="1">
        <v>1800</v>
      </c>
    </row>
    <row r="336" spans="1:10" x14ac:dyDescent="0.3">
      <c r="A336" t="s">
        <v>16</v>
      </c>
      <c r="B336" t="s">
        <v>18</v>
      </c>
      <c r="C336" t="s">
        <v>193</v>
      </c>
      <c r="D336" t="s">
        <v>42</v>
      </c>
      <c r="E336">
        <v>86</v>
      </c>
      <c r="F336">
        <v>161</v>
      </c>
      <c r="G336" s="1">
        <v>1000</v>
      </c>
      <c r="H336" s="1">
        <v>0</v>
      </c>
      <c r="I336" s="1">
        <v>0</v>
      </c>
      <c r="J336" s="1">
        <v>0</v>
      </c>
    </row>
    <row r="337" spans="1:10" x14ac:dyDescent="0.3">
      <c r="A337" t="s">
        <v>16</v>
      </c>
      <c r="B337" t="s">
        <v>17</v>
      </c>
      <c r="C337" t="s">
        <v>193</v>
      </c>
      <c r="D337" t="s">
        <v>42</v>
      </c>
      <c r="E337">
        <v>86</v>
      </c>
      <c r="F337">
        <v>161</v>
      </c>
      <c r="G337" s="1">
        <v>800</v>
      </c>
      <c r="H337" s="1">
        <v>0</v>
      </c>
      <c r="I337" s="1">
        <v>0</v>
      </c>
      <c r="J337" s="1">
        <v>0</v>
      </c>
    </row>
    <row r="338" spans="1:10" x14ac:dyDescent="0.3">
      <c r="A338" t="s">
        <v>16</v>
      </c>
      <c r="B338" t="s">
        <v>12</v>
      </c>
      <c r="C338" t="s">
        <v>193</v>
      </c>
      <c r="D338" t="s">
        <v>42</v>
      </c>
      <c r="E338">
        <v>86</v>
      </c>
      <c r="F338">
        <v>161</v>
      </c>
      <c r="G338" s="1">
        <v>500</v>
      </c>
      <c r="H338" s="1">
        <v>0</v>
      </c>
      <c r="I338" s="1">
        <v>0</v>
      </c>
      <c r="J338" s="1">
        <v>0</v>
      </c>
    </row>
    <row r="339" spans="1:10" x14ac:dyDescent="0.3">
      <c r="A339" t="s">
        <v>16</v>
      </c>
      <c r="B339" t="s">
        <v>9</v>
      </c>
      <c r="C339" t="s">
        <v>193</v>
      </c>
      <c r="D339" t="s">
        <v>42</v>
      </c>
      <c r="E339">
        <v>86</v>
      </c>
      <c r="F339">
        <v>161</v>
      </c>
      <c r="G339" s="1">
        <v>500</v>
      </c>
      <c r="H339" s="1">
        <v>0</v>
      </c>
      <c r="I339" s="1">
        <v>0</v>
      </c>
      <c r="J339" s="1">
        <v>0</v>
      </c>
    </row>
    <row r="340" spans="1:10" x14ac:dyDescent="0.3">
      <c r="A340" t="s">
        <v>16</v>
      </c>
      <c r="B340" t="s">
        <v>8</v>
      </c>
      <c r="C340" t="s">
        <v>193</v>
      </c>
      <c r="D340" t="s">
        <v>42</v>
      </c>
      <c r="E340">
        <v>86</v>
      </c>
      <c r="F340">
        <v>161</v>
      </c>
      <c r="G340" s="1">
        <v>500</v>
      </c>
      <c r="H340" s="1">
        <v>0</v>
      </c>
      <c r="I340" s="1">
        <v>0</v>
      </c>
      <c r="J340" s="1">
        <v>0</v>
      </c>
    </row>
    <row r="341" spans="1:10" x14ac:dyDescent="0.3">
      <c r="A341" t="s">
        <v>16</v>
      </c>
      <c r="B341" t="s">
        <v>7</v>
      </c>
      <c r="C341" t="s">
        <v>193</v>
      </c>
      <c r="D341" t="s">
        <v>42</v>
      </c>
      <c r="E341">
        <v>86</v>
      </c>
      <c r="F341">
        <v>161</v>
      </c>
      <c r="G341" s="1">
        <v>500</v>
      </c>
      <c r="H341" s="1">
        <v>0</v>
      </c>
      <c r="I341" s="1">
        <v>0</v>
      </c>
      <c r="J341" s="1">
        <v>0</v>
      </c>
    </row>
    <row r="342" spans="1:10" x14ac:dyDescent="0.3">
      <c r="A342" t="s">
        <v>16</v>
      </c>
      <c r="B342" t="s">
        <v>6</v>
      </c>
      <c r="C342" t="s">
        <v>193</v>
      </c>
      <c r="D342" t="s">
        <v>42</v>
      </c>
      <c r="E342">
        <v>86</v>
      </c>
      <c r="F342">
        <v>161</v>
      </c>
      <c r="G342" s="1">
        <v>500</v>
      </c>
      <c r="H342" s="1">
        <v>0</v>
      </c>
      <c r="I342" s="1">
        <v>0</v>
      </c>
      <c r="J342" s="1">
        <v>0</v>
      </c>
    </row>
    <row r="343" spans="1:10" x14ac:dyDescent="0.3">
      <c r="A343" t="s">
        <v>16</v>
      </c>
      <c r="B343" t="s">
        <v>5</v>
      </c>
      <c r="C343" t="s">
        <v>193</v>
      </c>
      <c r="D343" t="s">
        <v>42</v>
      </c>
      <c r="E343">
        <v>86</v>
      </c>
      <c r="F343">
        <v>161</v>
      </c>
      <c r="G343" s="1">
        <v>500</v>
      </c>
      <c r="H343" s="1">
        <v>0</v>
      </c>
      <c r="I343" s="1">
        <v>0</v>
      </c>
      <c r="J343" s="1">
        <v>0</v>
      </c>
    </row>
    <row r="344" spans="1:10" x14ac:dyDescent="0.3">
      <c r="A344" t="s">
        <v>16</v>
      </c>
      <c r="B344" t="s">
        <v>4</v>
      </c>
      <c r="C344" t="s">
        <v>193</v>
      </c>
      <c r="D344" t="s">
        <v>42</v>
      </c>
      <c r="E344">
        <v>86</v>
      </c>
      <c r="F344">
        <v>161</v>
      </c>
      <c r="G344" s="1">
        <v>500</v>
      </c>
      <c r="H344" s="1">
        <v>0</v>
      </c>
      <c r="I344" s="1">
        <v>0</v>
      </c>
      <c r="J344" s="1">
        <v>0</v>
      </c>
    </row>
    <row r="345" spans="1:10" x14ac:dyDescent="0.3">
      <c r="A345" t="s">
        <v>16</v>
      </c>
      <c r="B345" t="s">
        <v>3</v>
      </c>
      <c r="C345" t="s">
        <v>193</v>
      </c>
      <c r="D345" t="s">
        <v>42</v>
      </c>
      <c r="E345">
        <v>86</v>
      </c>
      <c r="F345">
        <v>161</v>
      </c>
      <c r="G345" s="1">
        <v>500</v>
      </c>
      <c r="H345" s="1">
        <v>0</v>
      </c>
      <c r="I345" s="1">
        <v>0</v>
      </c>
      <c r="J345" s="1">
        <v>0</v>
      </c>
    </row>
    <row r="346" spans="1:10" x14ac:dyDescent="0.3">
      <c r="A346" t="s">
        <v>16</v>
      </c>
      <c r="B346" t="s">
        <v>0</v>
      </c>
      <c r="C346" t="s">
        <v>193</v>
      </c>
      <c r="D346" t="s">
        <v>42</v>
      </c>
      <c r="E346">
        <v>86</v>
      </c>
      <c r="F346">
        <v>161</v>
      </c>
      <c r="G346" s="1">
        <v>500</v>
      </c>
      <c r="H346" s="1">
        <v>30</v>
      </c>
      <c r="I346" s="1">
        <v>30</v>
      </c>
      <c r="J346" s="1">
        <v>1000</v>
      </c>
    </row>
    <row r="347" spans="1:10" x14ac:dyDescent="0.3">
      <c r="A347" t="s">
        <v>16</v>
      </c>
      <c r="B347" t="s">
        <v>18</v>
      </c>
      <c r="C347" t="s">
        <v>193</v>
      </c>
      <c r="D347" t="s">
        <v>52</v>
      </c>
      <c r="E347">
        <v>86</v>
      </c>
      <c r="F347">
        <v>175</v>
      </c>
      <c r="G347" s="1">
        <v>500</v>
      </c>
      <c r="H347" s="1">
        <v>0</v>
      </c>
      <c r="I347" s="1">
        <v>0</v>
      </c>
      <c r="J347" s="1">
        <v>0</v>
      </c>
    </row>
    <row r="348" spans="1:10" x14ac:dyDescent="0.3">
      <c r="A348" t="s">
        <v>16</v>
      </c>
      <c r="B348" t="s">
        <v>18</v>
      </c>
      <c r="C348" t="s">
        <v>193</v>
      </c>
      <c r="D348" t="s">
        <v>33</v>
      </c>
      <c r="E348">
        <v>86</v>
      </c>
      <c r="F348">
        <v>189</v>
      </c>
      <c r="G348" s="1">
        <v>500</v>
      </c>
      <c r="H348" s="1">
        <v>0</v>
      </c>
      <c r="I348" s="1">
        <v>0</v>
      </c>
      <c r="J348" s="1">
        <v>0</v>
      </c>
    </row>
    <row r="349" spans="1:10" x14ac:dyDescent="0.3">
      <c r="A349" t="s">
        <v>16</v>
      </c>
      <c r="B349" t="s">
        <v>17</v>
      </c>
      <c r="C349" t="s">
        <v>193</v>
      </c>
      <c r="D349" t="s">
        <v>33</v>
      </c>
      <c r="E349">
        <v>86</v>
      </c>
      <c r="F349">
        <v>189</v>
      </c>
      <c r="G349" s="1">
        <v>500</v>
      </c>
      <c r="H349" s="1">
        <v>0</v>
      </c>
      <c r="I349" s="1">
        <v>0</v>
      </c>
      <c r="J349" s="1">
        <v>0</v>
      </c>
    </row>
    <row r="350" spans="1:10" x14ac:dyDescent="0.3">
      <c r="A350" t="s">
        <v>16</v>
      </c>
      <c r="B350" t="s">
        <v>6</v>
      </c>
      <c r="C350" t="s">
        <v>193</v>
      </c>
      <c r="D350" t="s">
        <v>33</v>
      </c>
      <c r="E350">
        <v>86</v>
      </c>
      <c r="F350">
        <v>189</v>
      </c>
      <c r="G350" s="1">
        <v>500</v>
      </c>
      <c r="H350" s="1">
        <v>200</v>
      </c>
      <c r="I350" s="1">
        <v>400</v>
      </c>
      <c r="J350" s="1">
        <v>2000</v>
      </c>
    </row>
    <row r="351" spans="1:10" x14ac:dyDescent="0.3">
      <c r="A351" t="s">
        <v>16</v>
      </c>
      <c r="B351" t="s">
        <v>5</v>
      </c>
      <c r="C351" t="s">
        <v>193</v>
      </c>
      <c r="D351" t="s">
        <v>33</v>
      </c>
      <c r="E351">
        <v>86</v>
      </c>
      <c r="F351">
        <v>189</v>
      </c>
      <c r="G351" s="1">
        <v>500</v>
      </c>
      <c r="H351" s="1">
        <v>0</v>
      </c>
      <c r="I351" s="1">
        <v>0</v>
      </c>
      <c r="J351" s="1">
        <v>0</v>
      </c>
    </row>
    <row r="352" spans="1:10" x14ac:dyDescent="0.3">
      <c r="A352" t="s">
        <v>16</v>
      </c>
      <c r="B352" t="s">
        <v>4</v>
      </c>
      <c r="C352" t="s">
        <v>193</v>
      </c>
      <c r="D352" t="s">
        <v>33</v>
      </c>
      <c r="E352">
        <v>86</v>
      </c>
      <c r="F352">
        <v>189</v>
      </c>
      <c r="G352" s="1">
        <v>500</v>
      </c>
      <c r="H352" s="1">
        <v>0</v>
      </c>
      <c r="I352" s="1">
        <v>0</v>
      </c>
      <c r="J352" s="1">
        <v>0</v>
      </c>
    </row>
    <row r="353" spans="1:10" x14ac:dyDescent="0.3">
      <c r="A353" t="s">
        <v>16</v>
      </c>
      <c r="B353" t="s">
        <v>3</v>
      </c>
      <c r="C353" t="s">
        <v>193</v>
      </c>
      <c r="D353" t="s">
        <v>33</v>
      </c>
      <c r="E353">
        <v>86</v>
      </c>
      <c r="F353">
        <v>189</v>
      </c>
      <c r="G353" s="1">
        <v>500</v>
      </c>
      <c r="H353" s="1">
        <v>0</v>
      </c>
      <c r="I353" s="1">
        <v>0</v>
      </c>
      <c r="J353" s="1">
        <v>0</v>
      </c>
    </row>
    <row r="354" spans="1:10" x14ac:dyDescent="0.3">
      <c r="A354" t="s">
        <v>16</v>
      </c>
      <c r="B354" t="s">
        <v>0</v>
      </c>
      <c r="C354" t="s">
        <v>193</v>
      </c>
      <c r="D354" t="s">
        <v>33</v>
      </c>
      <c r="E354">
        <v>86</v>
      </c>
      <c r="F354">
        <v>189</v>
      </c>
      <c r="G354" s="1">
        <v>500</v>
      </c>
      <c r="H354" s="1">
        <v>160</v>
      </c>
      <c r="I354" s="1">
        <v>144</v>
      </c>
      <c r="J354" s="1">
        <v>900</v>
      </c>
    </row>
    <row r="355" spans="1:10" x14ac:dyDescent="0.3">
      <c r="A355" t="s">
        <v>15</v>
      </c>
      <c r="B355" t="s">
        <v>0</v>
      </c>
      <c r="C355" t="s">
        <v>193</v>
      </c>
      <c r="D355" t="s">
        <v>51</v>
      </c>
      <c r="E355">
        <v>86</v>
      </c>
      <c r="F355">
        <v>56</v>
      </c>
      <c r="G355" s="1">
        <v>450</v>
      </c>
      <c r="H355" s="1">
        <v>450</v>
      </c>
      <c r="I355" s="1">
        <v>720</v>
      </c>
      <c r="J355" s="1">
        <v>1600</v>
      </c>
    </row>
    <row r="356" spans="1:10" x14ac:dyDescent="0.3">
      <c r="A356" t="s">
        <v>15</v>
      </c>
      <c r="B356" t="s">
        <v>0</v>
      </c>
      <c r="C356" t="s">
        <v>193</v>
      </c>
      <c r="D356" t="s">
        <v>70</v>
      </c>
      <c r="E356">
        <v>86</v>
      </c>
      <c r="F356">
        <v>91</v>
      </c>
      <c r="G356" s="1">
        <v>155</v>
      </c>
      <c r="H356" s="1">
        <v>155</v>
      </c>
      <c r="I356" s="1">
        <v>279</v>
      </c>
      <c r="J356" s="1">
        <v>1800</v>
      </c>
    </row>
    <row r="357" spans="1:10" x14ac:dyDescent="0.3">
      <c r="A357" t="s">
        <v>15</v>
      </c>
      <c r="B357" t="s">
        <v>3</v>
      </c>
      <c r="C357" t="s">
        <v>193</v>
      </c>
      <c r="D357" t="s">
        <v>72</v>
      </c>
      <c r="E357">
        <v>86</v>
      </c>
      <c r="F357">
        <v>119</v>
      </c>
      <c r="G357" s="1">
        <v>1086</v>
      </c>
      <c r="H357" s="1">
        <v>1086</v>
      </c>
      <c r="I357" s="1">
        <v>1195</v>
      </c>
      <c r="J357" s="1">
        <v>1100</v>
      </c>
    </row>
    <row r="358" spans="1:10" x14ac:dyDescent="0.3">
      <c r="A358" t="s">
        <v>15</v>
      </c>
      <c r="B358" t="s">
        <v>0</v>
      </c>
      <c r="C358" t="s">
        <v>193</v>
      </c>
      <c r="D358" t="s">
        <v>72</v>
      </c>
      <c r="E358">
        <v>86</v>
      </c>
      <c r="F358">
        <v>119</v>
      </c>
      <c r="G358" s="1">
        <v>5910</v>
      </c>
      <c r="H358" s="1">
        <v>5910</v>
      </c>
      <c r="I358" s="1">
        <v>10047</v>
      </c>
      <c r="J358" s="1">
        <v>1700</v>
      </c>
    </row>
    <row r="359" spans="1:10" x14ac:dyDescent="0.3">
      <c r="A359" t="s">
        <v>15</v>
      </c>
      <c r="B359" t="s">
        <v>9</v>
      </c>
      <c r="C359" t="s">
        <v>193</v>
      </c>
      <c r="D359" t="s">
        <v>68</v>
      </c>
      <c r="E359">
        <v>86</v>
      </c>
      <c r="F359">
        <v>133</v>
      </c>
      <c r="G359" s="1">
        <v>1000</v>
      </c>
      <c r="H359" s="1">
        <v>1000</v>
      </c>
      <c r="I359" s="1">
        <v>2000</v>
      </c>
      <c r="J359" s="1">
        <v>2000</v>
      </c>
    </row>
    <row r="360" spans="1:10" x14ac:dyDescent="0.3">
      <c r="A360" t="s">
        <v>15</v>
      </c>
      <c r="B360" t="s">
        <v>9</v>
      </c>
      <c r="C360" t="s">
        <v>193</v>
      </c>
      <c r="D360" t="s">
        <v>65</v>
      </c>
      <c r="E360">
        <v>86</v>
      </c>
      <c r="F360">
        <v>147</v>
      </c>
      <c r="G360" s="1">
        <v>300</v>
      </c>
      <c r="H360" s="1">
        <v>300</v>
      </c>
      <c r="I360" s="1">
        <v>450</v>
      </c>
      <c r="J360" s="1">
        <v>1500</v>
      </c>
    </row>
    <row r="361" spans="1:10" x14ac:dyDescent="0.3">
      <c r="A361" t="s">
        <v>13</v>
      </c>
      <c r="B361" t="s">
        <v>6</v>
      </c>
      <c r="C361" t="s">
        <v>193</v>
      </c>
      <c r="D361" t="s">
        <v>64</v>
      </c>
      <c r="E361">
        <v>86</v>
      </c>
      <c r="F361">
        <v>7</v>
      </c>
      <c r="G361" s="1">
        <v>700</v>
      </c>
      <c r="H361" s="1">
        <v>460</v>
      </c>
      <c r="I361" s="1">
        <v>460</v>
      </c>
      <c r="J361" s="1">
        <v>1000</v>
      </c>
    </row>
    <row r="362" spans="1:10" x14ac:dyDescent="0.3">
      <c r="A362" t="s">
        <v>13</v>
      </c>
      <c r="B362" t="s">
        <v>5</v>
      </c>
      <c r="C362" t="s">
        <v>193</v>
      </c>
      <c r="D362" t="s">
        <v>64</v>
      </c>
      <c r="E362">
        <v>86</v>
      </c>
      <c r="F362">
        <v>7</v>
      </c>
      <c r="G362" s="1">
        <v>600</v>
      </c>
      <c r="H362" s="1">
        <v>320</v>
      </c>
      <c r="I362" s="1">
        <v>288</v>
      </c>
      <c r="J362" s="1">
        <v>900</v>
      </c>
    </row>
    <row r="363" spans="1:10" x14ac:dyDescent="0.3">
      <c r="A363" t="s">
        <v>13</v>
      </c>
      <c r="B363" t="s">
        <v>4</v>
      </c>
      <c r="C363" t="s">
        <v>193</v>
      </c>
      <c r="D363" t="s">
        <v>64</v>
      </c>
      <c r="E363">
        <v>86</v>
      </c>
      <c r="F363">
        <v>7</v>
      </c>
      <c r="G363" s="1">
        <v>600</v>
      </c>
      <c r="H363" s="1">
        <v>600</v>
      </c>
      <c r="I363" s="1">
        <v>720</v>
      </c>
      <c r="J363" s="1">
        <v>1200</v>
      </c>
    </row>
    <row r="364" spans="1:10" x14ac:dyDescent="0.3">
      <c r="A364" t="s">
        <v>13</v>
      </c>
      <c r="B364" t="s">
        <v>3</v>
      </c>
      <c r="C364" t="s">
        <v>193</v>
      </c>
      <c r="D364" t="s">
        <v>64</v>
      </c>
      <c r="E364">
        <v>86</v>
      </c>
      <c r="F364">
        <v>7</v>
      </c>
      <c r="G364" s="1">
        <v>600</v>
      </c>
      <c r="H364" s="1">
        <v>330</v>
      </c>
      <c r="I364" s="1">
        <v>231</v>
      </c>
      <c r="J364" s="1">
        <v>700</v>
      </c>
    </row>
    <row r="365" spans="1:10" x14ac:dyDescent="0.3">
      <c r="A365" t="s">
        <v>13</v>
      </c>
      <c r="B365" t="s">
        <v>0</v>
      </c>
      <c r="C365" t="s">
        <v>193</v>
      </c>
      <c r="D365" t="s">
        <v>64</v>
      </c>
      <c r="E365">
        <v>86</v>
      </c>
      <c r="F365">
        <v>7</v>
      </c>
      <c r="G365" s="1">
        <v>160</v>
      </c>
      <c r="H365" s="1">
        <v>160</v>
      </c>
      <c r="I365" s="1">
        <v>352</v>
      </c>
      <c r="J365" s="1">
        <v>2200</v>
      </c>
    </row>
    <row r="366" spans="1:10" x14ac:dyDescent="0.3">
      <c r="A366" t="s">
        <v>13</v>
      </c>
      <c r="B366" t="s">
        <v>4</v>
      </c>
      <c r="C366" t="s">
        <v>193</v>
      </c>
      <c r="D366" t="s">
        <v>62</v>
      </c>
      <c r="E366">
        <v>86</v>
      </c>
      <c r="F366">
        <v>14</v>
      </c>
      <c r="G366" s="1">
        <v>650</v>
      </c>
      <c r="H366" s="1">
        <v>500</v>
      </c>
      <c r="I366" s="1">
        <v>600</v>
      </c>
      <c r="J366" s="1">
        <v>1200</v>
      </c>
    </row>
    <row r="367" spans="1:10" x14ac:dyDescent="0.3">
      <c r="A367" t="s">
        <v>13</v>
      </c>
      <c r="B367" t="s">
        <v>3</v>
      </c>
      <c r="C367" t="s">
        <v>193</v>
      </c>
      <c r="D367" t="s">
        <v>62</v>
      </c>
      <c r="E367">
        <v>86</v>
      </c>
      <c r="F367">
        <v>14</v>
      </c>
      <c r="G367" s="1">
        <v>670</v>
      </c>
      <c r="H367" s="1">
        <v>380</v>
      </c>
      <c r="I367" s="1">
        <v>266</v>
      </c>
      <c r="J367" s="1">
        <v>700</v>
      </c>
    </row>
    <row r="368" spans="1:10" x14ac:dyDescent="0.3">
      <c r="A368" t="s">
        <v>13</v>
      </c>
      <c r="B368" t="s">
        <v>0</v>
      </c>
      <c r="C368" t="s">
        <v>193</v>
      </c>
      <c r="D368" t="s">
        <v>62</v>
      </c>
      <c r="E368">
        <v>86</v>
      </c>
      <c r="F368">
        <v>14</v>
      </c>
      <c r="G368" s="1">
        <v>210</v>
      </c>
      <c r="H368" s="1">
        <v>210</v>
      </c>
      <c r="I368" s="1">
        <v>399</v>
      </c>
      <c r="J368" s="1">
        <v>1900</v>
      </c>
    </row>
    <row r="369" spans="1:10" x14ac:dyDescent="0.3">
      <c r="A369" t="s">
        <v>13</v>
      </c>
      <c r="B369" t="s">
        <v>4</v>
      </c>
      <c r="C369" t="s">
        <v>193</v>
      </c>
      <c r="D369" t="s">
        <v>44</v>
      </c>
      <c r="E369">
        <v>86</v>
      </c>
      <c r="F369">
        <v>35</v>
      </c>
      <c r="G369" s="1">
        <v>500</v>
      </c>
      <c r="H369" s="1">
        <v>0</v>
      </c>
      <c r="I369" s="1">
        <v>0</v>
      </c>
      <c r="J369" s="1">
        <v>0</v>
      </c>
    </row>
    <row r="370" spans="1:10" x14ac:dyDescent="0.3">
      <c r="A370" t="s">
        <v>13</v>
      </c>
      <c r="B370" t="s">
        <v>3</v>
      </c>
      <c r="C370" t="s">
        <v>193</v>
      </c>
      <c r="D370" t="s">
        <v>44</v>
      </c>
      <c r="E370">
        <v>86</v>
      </c>
      <c r="F370">
        <v>35</v>
      </c>
      <c r="G370" s="1">
        <v>500</v>
      </c>
      <c r="H370" s="1">
        <v>494</v>
      </c>
      <c r="I370" s="1">
        <v>445</v>
      </c>
      <c r="J370" s="1">
        <v>901</v>
      </c>
    </row>
    <row r="371" spans="1:10" x14ac:dyDescent="0.3">
      <c r="A371" t="s">
        <v>13</v>
      </c>
      <c r="B371" t="s">
        <v>0</v>
      </c>
      <c r="C371" t="s">
        <v>193</v>
      </c>
      <c r="D371" t="s">
        <v>44</v>
      </c>
      <c r="E371">
        <v>86</v>
      </c>
      <c r="F371">
        <v>35</v>
      </c>
      <c r="G371" s="1">
        <v>500</v>
      </c>
      <c r="H371" s="1">
        <v>150</v>
      </c>
      <c r="I371" s="1">
        <v>135</v>
      </c>
      <c r="J371" s="1">
        <v>900</v>
      </c>
    </row>
    <row r="372" spans="1:10" x14ac:dyDescent="0.3">
      <c r="A372" t="s">
        <v>13</v>
      </c>
      <c r="B372" t="s">
        <v>12</v>
      </c>
      <c r="C372" t="s">
        <v>193</v>
      </c>
      <c r="D372" t="s">
        <v>74</v>
      </c>
      <c r="E372">
        <v>86</v>
      </c>
      <c r="F372">
        <v>42</v>
      </c>
      <c r="G372" s="1">
        <v>800</v>
      </c>
      <c r="H372" s="1">
        <v>0</v>
      </c>
      <c r="I372" s="1">
        <v>0</v>
      </c>
      <c r="J372" s="1">
        <v>0</v>
      </c>
    </row>
    <row r="373" spans="1:10" x14ac:dyDescent="0.3">
      <c r="A373" t="s">
        <v>13</v>
      </c>
      <c r="B373" t="s">
        <v>9</v>
      </c>
      <c r="C373" t="s">
        <v>193</v>
      </c>
      <c r="D373" t="s">
        <v>74</v>
      </c>
      <c r="E373">
        <v>86</v>
      </c>
      <c r="F373">
        <v>42</v>
      </c>
      <c r="G373" s="1">
        <v>700</v>
      </c>
      <c r="H373" s="1">
        <v>0</v>
      </c>
      <c r="I373" s="1">
        <v>0</v>
      </c>
      <c r="J373" s="1">
        <v>0</v>
      </c>
    </row>
    <row r="374" spans="1:10" x14ac:dyDescent="0.3">
      <c r="A374" t="s">
        <v>13</v>
      </c>
      <c r="B374" t="s">
        <v>8</v>
      </c>
      <c r="C374" t="s">
        <v>193</v>
      </c>
      <c r="D374" t="s">
        <v>74</v>
      </c>
      <c r="E374">
        <v>86</v>
      </c>
      <c r="F374">
        <v>42</v>
      </c>
      <c r="G374" s="1">
        <v>700</v>
      </c>
      <c r="H374" s="1">
        <v>700</v>
      </c>
      <c r="I374" s="1">
        <v>1190</v>
      </c>
      <c r="J374" s="1">
        <v>1700</v>
      </c>
    </row>
    <row r="375" spans="1:10" x14ac:dyDescent="0.3">
      <c r="A375" t="s">
        <v>13</v>
      </c>
      <c r="B375" t="s">
        <v>7</v>
      </c>
      <c r="C375" t="s">
        <v>193</v>
      </c>
      <c r="D375" t="s">
        <v>74</v>
      </c>
      <c r="E375">
        <v>86</v>
      </c>
      <c r="F375">
        <v>42</v>
      </c>
      <c r="G375" s="1">
        <v>1450</v>
      </c>
      <c r="H375" s="1">
        <v>1450</v>
      </c>
      <c r="I375" s="1">
        <v>2610</v>
      </c>
      <c r="J375" s="1">
        <v>1800</v>
      </c>
    </row>
    <row r="376" spans="1:10" x14ac:dyDescent="0.3">
      <c r="A376" t="s">
        <v>13</v>
      </c>
      <c r="B376" t="s">
        <v>6</v>
      </c>
      <c r="C376" t="s">
        <v>193</v>
      </c>
      <c r="D376" t="s">
        <v>74</v>
      </c>
      <c r="E376">
        <v>86</v>
      </c>
      <c r="F376">
        <v>42</v>
      </c>
      <c r="G376" s="1">
        <v>1750</v>
      </c>
      <c r="H376" s="1">
        <v>1520</v>
      </c>
      <c r="I376" s="1">
        <v>2584</v>
      </c>
      <c r="J376" s="1">
        <v>1700</v>
      </c>
    </row>
    <row r="377" spans="1:10" x14ac:dyDescent="0.3">
      <c r="A377" t="s">
        <v>13</v>
      </c>
      <c r="B377" t="s">
        <v>5</v>
      </c>
      <c r="C377" t="s">
        <v>193</v>
      </c>
      <c r="D377" t="s">
        <v>74</v>
      </c>
      <c r="E377">
        <v>86</v>
      </c>
      <c r="F377">
        <v>42</v>
      </c>
      <c r="G377" s="1">
        <v>1850</v>
      </c>
      <c r="H377" s="1">
        <v>1000</v>
      </c>
      <c r="I377" s="1">
        <v>900</v>
      </c>
      <c r="J377" s="1">
        <v>900</v>
      </c>
    </row>
    <row r="378" spans="1:10" x14ac:dyDescent="0.3">
      <c r="A378" t="s">
        <v>13</v>
      </c>
      <c r="B378" t="s">
        <v>4</v>
      </c>
      <c r="C378" t="s">
        <v>193</v>
      </c>
      <c r="D378" t="s">
        <v>74</v>
      </c>
      <c r="E378">
        <v>86</v>
      </c>
      <c r="F378">
        <v>42</v>
      </c>
      <c r="G378" s="1">
        <v>1850</v>
      </c>
      <c r="H378" s="1">
        <v>1170</v>
      </c>
      <c r="I378" s="1">
        <v>1404</v>
      </c>
      <c r="J378" s="1">
        <v>1200</v>
      </c>
    </row>
    <row r="379" spans="1:10" x14ac:dyDescent="0.3">
      <c r="A379" t="s">
        <v>13</v>
      </c>
      <c r="B379" t="s">
        <v>3</v>
      </c>
      <c r="C379" t="s">
        <v>193</v>
      </c>
      <c r="D379" t="s">
        <v>74</v>
      </c>
      <c r="E379">
        <v>86</v>
      </c>
      <c r="F379">
        <v>42</v>
      </c>
      <c r="G379" s="1">
        <v>1850</v>
      </c>
      <c r="H379" s="1">
        <v>1630</v>
      </c>
      <c r="I379" s="1">
        <v>1141</v>
      </c>
      <c r="J379" s="1">
        <v>700</v>
      </c>
    </row>
    <row r="380" spans="1:10" x14ac:dyDescent="0.3">
      <c r="A380" t="s">
        <v>13</v>
      </c>
      <c r="B380" t="s">
        <v>0</v>
      </c>
      <c r="C380" t="s">
        <v>193</v>
      </c>
      <c r="D380" t="s">
        <v>74</v>
      </c>
      <c r="E380">
        <v>86</v>
      </c>
      <c r="F380">
        <v>42</v>
      </c>
      <c r="G380" s="1">
        <v>740</v>
      </c>
      <c r="H380" s="1">
        <v>740</v>
      </c>
      <c r="I380" s="1">
        <v>1480</v>
      </c>
      <c r="J380" s="1">
        <v>2000</v>
      </c>
    </row>
    <row r="381" spans="1:10" x14ac:dyDescent="0.3">
      <c r="A381" t="s">
        <v>13</v>
      </c>
      <c r="B381" t="s">
        <v>12</v>
      </c>
      <c r="C381" t="s">
        <v>193</v>
      </c>
      <c r="D381" t="s">
        <v>75</v>
      </c>
      <c r="E381">
        <v>86</v>
      </c>
      <c r="F381">
        <v>77</v>
      </c>
      <c r="G381" s="1">
        <v>1700</v>
      </c>
      <c r="H381" s="1">
        <v>0</v>
      </c>
      <c r="I381" s="1">
        <v>0</v>
      </c>
      <c r="J381" s="1">
        <v>0</v>
      </c>
    </row>
    <row r="382" spans="1:10" x14ac:dyDescent="0.3">
      <c r="A382" t="s">
        <v>13</v>
      </c>
      <c r="B382" t="s">
        <v>9</v>
      </c>
      <c r="C382" t="s">
        <v>193</v>
      </c>
      <c r="D382" t="s">
        <v>75</v>
      </c>
      <c r="E382">
        <v>86</v>
      </c>
      <c r="F382">
        <v>77</v>
      </c>
      <c r="G382" s="1">
        <v>1400</v>
      </c>
      <c r="H382" s="1">
        <v>0</v>
      </c>
      <c r="I382" s="1">
        <v>0</v>
      </c>
      <c r="J382" s="1">
        <v>0</v>
      </c>
    </row>
    <row r="383" spans="1:10" x14ac:dyDescent="0.3">
      <c r="A383" t="s">
        <v>13</v>
      </c>
      <c r="B383" t="s">
        <v>8</v>
      </c>
      <c r="C383" t="s">
        <v>193</v>
      </c>
      <c r="D383" t="s">
        <v>75</v>
      </c>
      <c r="E383">
        <v>86</v>
      </c>
      <c r="F383">
        <v>77</v>
      </c>
      <c r="G383" s="1">
        <v>500</v>
      </c>
      <c r="H383" s="1">
        <v>500</v>
      </c>
      <c r="I383" s="1">
        <v>850</v>
      </c>
      <c r="J383" s="1">
        <v>1700</v>
      </c>
    </row>
    <row r="384" spans="1:10" x14ac:dyDescent="0.3">
      <c r="A384" t="s">
        <v>13</v>
      </c>
      <c r="B384" t="s">
        <v>7</v>
      </c>
      <c r="C384" t="s">
        <v>193</v>
      </c>
      <c r="D384" t="s">
        <v>75</v>
      </c>
      <c r="E384">
        <v>86</v>
      </c>
      <c r="F384">
        <v>77</v>
      </c>
      <c r="G384" s="1">
        <v>1900</v>
      </c>
      <c r="H384" s="1">
        <v>1900</v>
      </c>
      <c r="I384" s="1">
        <v>2660</v>
      </c>
      <c r="J384" s="1">
        <v>1400</v>
      </c>
    </row>
    <row r="385" spans="1:10" x14ac:dyDescent="0.3">
      <c r="A385" t="s">
        <v>13</v>
      </c>
      <c r="B385" t="s">
        <v>6</v>
      </c>
      <c r="C385" t="s">
        <v>193</v>
      </c>
      <c r="D385" t="s">
        <v>75</v>
      </c>
      <c r="E385">
        <v>86</v>
      </c>
      <c r="F385">
        <v>77</v>
      </c>
      <c r="G385" s="1">
        <v>2280</v>
      </c>
      <c r="H385" s="1">
        <v>1820</v>
      </c>
      <c r="I385" s="1">
        <v>2730</v>
      </c>
      <c r="J385" s="1">
        <v>1500</v>
      </c>
    </row>
    <row r="386" spans="1:10" x14ac:dyDescent="0.3">
      <c r="A386" t="s">
        <v>13</v>
      </c>
      <c r="B386" t="s">
        <v>5</v>
      </c>
      <c r="C386" t="s">
        <v>193</v>
      </c>
      <c r="D386" t="s">
        <v>75</v>
      </c>
      <c r="E386">
        <v>86</v>
      </c>
      <c r="F386">
        <v>77</v>
      </c>
      <c r="G386" s="1">
        <v>2280</v>
      </c>
      <c r="H386" s="1">
        <v>1280</v>
      </c>
      <c r="I386" s="1">
        <v>1152</v>
      </c>
      <c r="J386" s="1">
        <v>900</v>
      </c>
    </row>
    <row r="387" spans="1:10" x14ac:dyDescent="0.3">
      <c r="A387" t="s">
        <v>13</v>
      </c>
      <c r="B387" t="s">
        <v>4</v>
      </c>
      <c r="C387" t="s">
        <v>193</v>
      </c>
      <c r="D387" t="s">
        <v>75</v>
      </c>
      <c r="E387">
        <v>86</v>
      </c>
      <c r="F387">
        <v>77</v>
      </c>
      <c r="G387" s="1">
        <v>2280</v>
      </c>
      <c r="H387" s="1">
        <v>1860</v>
      </c>
      <c r="I387" s="1">
        <v>2232</v>
      </c>
      <c r="J387" s="1">
        <v>1200</v>
      </c>
    </row>
    <row r="388" spans="1:10" x14ac:dyDescent="0.3">
      <c r="A388" t="s">
        <v>13</v>
      </c>
      <c r="B388" t="s">
        <v>3</v>
      </c>
      <c r="C388" t="s">
        <v>193</v>
      </c>
      <c r="D388" t="s">
        <v>75</v>
      </c>
      <c r="E388">
        <v>86</v>
      </c>
      <c r="F388">
        <v>77</v>
      </c>
      <c r="G388" s="1">
        <v>2280</v>
      </c>
      <c r="H388" s="1">
        <v>1860</v>
      </c>
      <c r="I388" s="1">
        <v>1302</v>
      </c>
      <c r="J388" s="1">
        <v>700</v>
      </c>
    </row>
    <row r="389" spans="1:10" x14ac:dyDescent="0.3">
      <c r="A389" t="s">
        <v>13</v>
      </c>
      <c r="B389" t="s">
        <v>0</v>
      </c>
      <c r="C389" t="s">
        <v>193</v>
      </c>
      <c r="D389" t="s">
        <v>75</v>
      </c>
      <c r="E389">
        <v>86</v>
      </c>
      <c r="F389">
        <v>77</v>
      </c>
      <c r="G389" s="1">
        <v>710</v>
      </c>
      <c r="H389" s="1">
        <v>710</v>
      </c>
      <c r="I389" s="1">
        <v>1420</v>
      </c>
      <c r="J389" s="1">
        <v>2000</v>
      </c>
    </row>
    <row r="390" spans="1:10" x14ac:dyDescent="0.3">
      <c r="A390" t="s">
        <v>13</v>
      </c>
      <c r="B390" t="s">
        <v>12</v>
      </c>
      <c r="C390" t="s">
        <v>193</v>
      </c>
      <c r="D390" t="s">
        <v>54</v>
      </c>
      <c r="E390">
        <v>86</v>
      </c>
      <c r="F390">
        <v>84</v>
      </c>
      <c r="G390" s="1">
        <v>500</v>
      </c>
      <c r="H390" s="1">
        <v>400</v>
      </c>
      <c r="I390" s="1">
        <v>480</v>
      </c>
      <c r="J390" s="1">
        <v>1200</v>
      </c>
    </row>
    <row r="391" spans="1:10" x14ac:dyDescent="0.3">
      <c r="A391" t="s">
        <v>13</v>
      </c>
      <c r="B391" t="s">
        <v>14</v>
      </c>
      <c r="C391" t="s">
        <v>193</v>
      </c>
      <c r="D391" t="s">
        <v>70</v>
      </c>
      <c r="E391">
        <v>86</v>
      </c>
      <c r="F391">
        <v>91</v>
      </c>
      <c r="G391" s="1">
        <v>6166</v>
      </c>
      <c r="H391" s="1">
        <v>0</v>
      </c>
      <c r="I391" s="1">
        <v>0</v>
      </c>
      <c r="J391" s="1">
        <v>0</v>
      </c>
    </row>
    <row r="392" spans="1:10" x14ac:dyDescent="0.3">
      <c r="A392" t="s">
        <v>13</v>
      </c>
      <c r="B392" t="s">
        <v>12</v>
      </c>
      <c r="C392" t="s">
        <v>193</v>
      </c>
      <c r="D392" t="s">
        <v>70</v>
      </c>
      <c r="E392">
        <v>86</v>
      </c>
      <c r="F392">
        <v>91</v>
      </c>
      <c r="G392" s="1">
        <v>6000</v>
      </c>
      <c r="H392" s="1">
        <v>4000</v>
      </c>
      <c r="I392" s="1">
        <v>6400</v>
      </c>
      <c r="J392" s="1">
        <v>1600</v>
      </c>
    </row>
    <row r="393" spans="1:10" x14ac:dyDescent="0.3">
      <c r="A393" t="s">
        <v>13</v>
      </c>
      <c r="B393" t="s">
        <v>9</v>
      </c>
      <c r="C393" t="s">
        <v>193</v>
      </c>
      <c r="D393" t="s">
        <v>70</v>
      </c>
      <c r="E393">
        <v>86</v>
      </c>
      <c r="F393">
        <v>91</v>
      </c>
      <c r="G393" s="1">
        <v>6000</v>
      </c>
      <c r="H393" s="1">
        <v>5000</v>
      </c>
      <c r="I393" s="1">
        <v>9000</v>
      </c>
      <c r="J393" s="1">
        <v>1800</v>
      </c>
    </row>
    <row r="394" spans="1:10" x14ac:dyDescent="0.3">
      <c r="A394" t="s">
        <v>13</v>
      </c>
      <c r="B394" t="s">
        <v>8</v>
      </c>
      <c r="C394" t="s">
        <v>193</v>
      </c>
      <c r="D394" t="s">
        <v>70</v>
      </c>
      <c r="E394">
        <v>86</v>
      </c>
      <c r="F394">
        <v>91</v>
      </c>
      <c r="G394" s="1">
        <v>8000</v>
      </c>
      <c r="H394" s="1">
        <v>8000</v>
      </c>
      <c r="I394" s="1">
        <v>16000</v>
      </c>
      <c r="J394" s="1">
        <v>2000</v>
      </c>
    </row>
    <row r="395" spans="1:10" x14ac:dyDescent="0.3">
      <c r="A395" t="s">
        <v>13</v>
      </c>
      <c r="B395" t="s">
        <v>7</v>
      </c>
      <c r="C395" t="s">
        <v>193</v>
      </c>
      <c r="D395" t="s">
        <v>70</v>
      </c>
      <c r="E395">
        <v>86</v>
      </c>
      <c r="F395">
        <v>91</v>
      </c>
      <c r="G395" s="1">
        <v>8000</v>
      </c>
      <c r="H395" s="1">
        <v>7200</v>
      </c>
      <c r="I395" s="1">
        <v>10800</v>
      </c>
      <c r="J395" s="1">
        <v>1500</v>
      </c>
    </row>
    <row r="396" spans="1:10" x14ac:dyDescent="0.3">
      <c r="A396" t="s">
        <v>13</v>
      </c>
      <c r="B396" t="s">
        <v>6</v>
      </c>
      <c r="C396" t="s">
        <v>193</v>
      </c>
      <c r="D396" t="s">
        <v>70</v>
      </c>
      <c r="E396">
        <v>86</v>
      </c>
      <c r="F396">
        <v>91</v>
      </c>
      <c r="G396" s="1">
        <v>10000</v>
      </c>
      <c r="H396" s="1">
        <v>10000</v>
      </c>
      <c r="I396" s="1">
        <v>18000</v>
      </c>
      <c r="J396" s="1">
        <v>1800</v>
      </c>
    </row>
    <row r="397" spans="1:10" x14ac:dyDescent="0.3">
      <c r="A397" t="s">
        <v>13</v>
      </c>
      <c r="B397" t="s">
        <v>5</v>
      </c>
      <c r="C397" t="s">
        <v>193</v>
      </c>
      <c r="D397" t="s">
        <v>70</v>
      </c>
      <c r="E397">
        <v>86</v>
      </c>
      <c r="F397">
        <v>91</v>
      </c>
      <c r="G397" s="1">
        <v>10000</v>
      </c>
      <c r="H397" s="1">
        <v>10000</v>
      </c>
      <c r="I397" s="1">
        <v>12000</v>
      </c>
      <c r="J397" s="1">
        <v>1200</v>
      </c>
    </row>
    <row r="398" spans="1:10" x14ac:dyDescent="0.3">
      <c r="A398" t="s">
        <v>13</v>
      </c>
      <c r="B398" t="s">
        <v>4</v>
      </c>
      <c r="C398" t="s">
        <v>193</v>
      </c>
      <c r="D398" t="s">
        <v>70</v>
      </c>
      <c r="E398">
        <v>86</v>
      </c>
      <c r="F398">
        <v>91</v>
      </c>
      <c r="G398" s="1">
        <v>10000</v>
      </c>
      <c r="H398" s="1">
        <v>10000</v>
      </c>
      <c r="I398" s="1">
        <v>15000</v>
      </c>
      <c r="J398" s="1">
        <v>1500</v>
      </c>
    </row>
    <row r="399" spans="1:10" x14ac:dyDescent="0.3">
      <c r="A399" t="s">
        <v>13</v>
      </c>
      <c r="B399" t="s">
        <v>3</v>
      </c>
      <c r="C399" t="s">
        <v>193</v>
      </c>
      <c r="D399" t="s">
        <v>70</v>
      </c>
      <c r="E399">
        <v>86</v>
      </c>
      <c r="F399">
        <v>91</v>
      </c>
      <c r="G399" s="1">
        <v>10000</v>
      </c>
      <c r="H399" s="1">
        <v>9850</v>
      </c>
      <c r="I399" s="1">
        <v>7880</v>
      </c>
      <c r="J399" s="1">
        <v>800</v>
      </c>
    </row>
    <row r="400" spans="1:10" x14ac:dyDescent="0.3">
      <c r="A400" t="s">
        <v>13</v>
      </c>
      <c r="B400" t="s">
        <v>0</v>
      </c>
      <c r="C400" t="s">
        <v>193</v>
      </c>
      <c r="D400" t="s">
        <v>70</v>
      </c>
      <c r="E400">
        <v>86</v>
      </c>
      <c r="F400">
        <v>91</v>
      </c>
      <c r="G400" s="1">
        <v>10300</v>
      </c>
      <c r="H400" s="1">
        <v>2900</v>
      </c>
      <c r="I400" s="1">
        <v>2610</v>
      </c>
      <c r="J400" s="1">
        <v>900</v>
      </c>
    </row>
    <row r="401" spans="1:10" x14ac:dyDescent="0.3">
      <c r="A401" t="s">
        <v>13</v>
      </c>
      <c r="B401" t="s">
        <v>12</v>
      </c>
      <c r="C401" t="s">
        <v>193</v>
      </c>
      <c r="D401" t="s">
        <v>69</v>
      </c>
      <c r="E401">
        <v>86</v>
      </c>
      <c r="F401">
        <v>98</v>
      </c>
      <c r="G401" s="1">
        <v>500</v>
      </c>
      <c r="H401" s="1">
        <v>0</v>
      </c>
      <c r="I401" s="1">
        <v>0</v>
      </c>
      <c r="J401" s="1">
        <v>0</v>
      </c>
    </row>
    <row r="402" spans="1:10" x14ac:dyDescent="0.3">
      <c r="A402" t="s">
        <v>13</v>
      </c>
      <c r="B402" t="s">
        <v>9</v>
      </c>
      <c r="C402" t="s">
        <v>193</v>
      </c>
      <c r="D402" t="s">
        <v>69</v>
      </c>
      <c r="E402">
        <v>86</v>
      </c>
      <c r="F402">
        <v>98</v>
      </c>
      <c r="G402" s="1">
        <v>500</v>
      </c>
      <c r="H402" s="1">
        <v>0</v>
      </c>
      <c r="I402" s="1">
        <v>0</v>
      </c>
      <c r="J402" s="1">
        <v>0</v>
      </c>
    </row>
    <row r="403" spans="1:10" x14ac:dyDescent="0.3">
      <c r="A403" t="s">
        <v>13</v>
      </c>
      <c r="B403" t="s">
        <v>8</v>
      </c>
      <c r="C403" t="s">
        <v>193</v>
      </c>
      <c r="D403" t="s">
        <v>69</v>
      </c>
      <c r="E403">
        <v>86</v>
      </c>
      <c r="F403">
        <v>98</v>
      </c>
      <c r="G403" s="1">
        <v>500</v>
      </c>
      <c r="H403" s="1">
        <v>500</v>
      </c>
      <c r="I403" s="1">
        <v>850</v>
      </c>
      <c r="J403" s="1">
        <v>1700</v>
      </c>
    </row>
    <row r="404" spans="1:10" x14ac:dyDescent="0.3">
      <c r="A404" t="s">
        <v>13</v>
      </c>
      <c r="B404" t="s">
        <v>7</v>
      </c>
      <c r="C404" t="s">
        <v>193</v>
      </c>
      <c r="D404" t="s">
        <v>69</v>
      </c>
      <c r="E404">
        <v>86</v>
      </c>
      <c r="F404">
        <v>98</v>
      </c>
      <c r="G404" s="1">
        <v>500</v>
      </c>
      <c r="H404" s="1">
        <v>310</v>
      </c>
      <c r="I404" s="1">
        <v>155</v>
      </c>
      <c r="J404" s="1">
        <v>500</v>
      </c>
    </row>
    <row r="405" spans="1:10" x14ac:dyDescent="0.3">
      <c r="A405" t="s">
        <v>13</v>
      </c>
      <c r="B405" t="s">
        <v>6</v>
      </c>
      <c r="C405" t="s">
        <v>193</v>
      </c>
      <c r="D405" t="s">
        <v>69</v>
      </c>
      <c r="E405">
        <v>86</v>
      </c>
      <c r="F405">
        <v>98</v>
      </c>
      <c r="G405" s="1">
        <v>720</v>
      </c>
      <c r="H405" s="1">
        <v>300</v>
      </c>
      <c r="I405" s="1">
        <v>390</v>
      </c>
      <c r="J405" s="1">
        <v>1300</v>
      </c>
    </row>
    <row r="406" spans="1:10" x14ac:dyDescent="0.3">
      <c r="A406" t="s">
        <v>13</v>
      </c>
      <c r="B406" t="s">
        <v>5</v>
      </c>
      <c r="C406" t="s">
        <v>193</v>
      </c>
      <c r="D406" t="s">
        <v>69</v>
      </c>
      <c r="E406">
        <v>86</v>
      </c>
      <c r="F406">
        <v>98</v>
      </c>
      <c r="G406" s="1">
        <v>720</v>
      </c>
      <c r="H406" s="1">
        <v>300</v>
      </c>
      <c r="I406" s="1">
        <v>270</v>
      </c>
      <c r="J406" s="1">
        <v>900</v>
      </c>
    </row>
    <row r="407" spans="1:10" x14ac:dyDescent="0.3">
      <c r="A407" t="s">
        <v>13</v>
      </c>
      <c r="B407" t="s">
        <v>4</v>
      </c>
      <c r="C407" t="s">
        <v>193</v>
      </c>
      <c r="D407" t="s">
        <v>69</v>
      </c>
      <c r="E407">
        <v>86</v>
      </c>
      <c r="F407">
        <v>98</v>
      </c>
      <c r="G407" s="1">
        <v>500</v>
      </c>
      <c r="H407" s="1">
        <v>500</v>
      </c>
      <c r="I407" s="1">
        <v>600</v>
      </c>
      <c r="J407" s="1">
        <v>1200</v>
      </c>
    </row>
    <row r="408" spans="1:10" x14ac:dyDescent="0.3">
      <c r="A408" t="s">
        <v>13</v>
      </c>
      <c r="B408" t="s">
        <v>3</v>
      </c>
      <c r="C408" t="s">
        <v>193</v>
      </c>
      <c r="D408" t="s">
        <v>69</v>
      </c>
      <c r="E408">
        <v>86</v>
      </c>
      <c r="F408">
        <v>98</v>
      </c>
      <c r="G408" s="1">
        <v>480</v>
      </c>
      <c r="H408" s="1">
        <v>340</v>
      </c>
      <c r="I408" s="1">
        <v>238</v>
      </c>
      <c r="J408" s="1">
        <v>700</v>
      </c>
    </row>
    <row r="409" spans="1:10" x14ac:dyDescent="0.3">
      <c r="A409" t="s">
        <v>13</v>
      </c>
      <c r="B409" t="s">
        <v>0</v>
      </c>
      <c r="C409" t="s">
        <v>193</v>
      </c>
      <c r="D409" t="s">
        <v>69</v>
      </c>
      <c r="E409">
        <v>86</v>
      </c>
      <c r="F409">
        <v>98</v>
      </c>
      <c r="G409" s="1">
        <v>160</v>
      </c>
      <c r="H409" s="1">
        <v>160</v>
      </c>
      <c r="I409" s="1">
        <v>352</v>
      </c>
      <c r="J409" s="1">
        <v>2200</v>
      </c>
    </row>
    <row r="410" spans="1:10" x14ac:dyDescent="0.3">
      <c r="A410" t="s">
        <v>13</v>
      </c>
      <c r="B410" t="s">
        <v>12</v>
      </c>
      <c r="C410" t="s">
        <v>193</v>
      </c>
      <c r="D410" t="s">
        <v>56</v>
      </c>
      <c r="E410">
        <v>86</v>
      </c>
      <c r="F410">
        <v>112</v>
      </c>
      <c r="G410" s="1">
        <v>2000</v>
      </c>
      <c r="H410" s="1">
        <v>1500</v>
      </c>
      <c r="I410" s="1">
        <v>2550</v>
      </c>
      <c r="J410" s="1">
        <v>1700</v>
      </c>
    </row>
    <row r="411" spans="1:10" x14ac:dyDescent="0.3">
      <c r="A411" t="s">
        <v>13</v>
      </c>
      <c r="B411" t="s">
        <v>9</v>
      </c>
      <c r="C411" t="s">
        <v>193</v>
      </c>
      <c r="D411" t="s">
        <v>56</v>
      </c>
      <c r="E411">
        <v>86</v>
      </c>
      <c r="F411">
        <v>112</v>
      </c>
      <c r="G411" s="1">
        <v>2000</v>
      </c>
      <c r="H411" s="1">
        <v>2000</v>
      </c>
      <c r="I411" s="1">
        <v>3600</v>
      </c>
      <c r="J411" s="1">
        <v>1800</v>
      </c>
    </row>
    <row r="412" spans="1:10" x14ac:dyDescent="0.3">
      <c r="A412" t="s">
        <v>13</v>
      </c>
      <c r="B412" t="s">
        <v>12</v>
      </c>
      <c r="C412" t="s">
        <v>193</v>
      </c>
      <c r="D412" t="s">
        <v>72</v>
      </c>
      <c r="E412">
        <v>86</v>
      </c>
      <c r="F412">
        <v>119</v>
      </c>
      <c r="G412" s="1">
        <v>1000</v>
      </c>
      <c r="H412" s="1">
        <v>0</v>
      </c>
      <c r="I412" s="1">
        <v>0</v>
      </c>
      <c r="J412" s="1">
        <v>0</v>
      </c>
    </row>
    <row r="413" spans="1:10" x14ac:dyDescent="0.3">
      <c r="A413" t="s">
        <v>13</v>
      </c>
      <c r="B413" t="s">
        <v>9</v>
      </c>
      <c r="C413" t="s">
        <v>193</v>
      </c>
      <c r="D413" t="s">
        <v>72</v>
      </c>
      <c r="E413">
        <v>86</v>
      </c>
      <c r="F413">
        <v>119</v>
      </c>
      <c r="G413" s="1">
        <v>800</v>
      </c>
      <c r="H413" s="1">
        <v>0</v>
      </c>
      <c r="I413" s="1">
        <v>0</v>
      </c>
      <c r="J413" s="1">
        <v>0</v>
      </c>
    </row>
    <row r="414" spans="1:10" x14ac:dyDescent="0.3">
      <c r="A414" t="s">
        <v>13</v>
      </c>
      <c r="B414" t="s">
        <v>7</v>
      </c>
      <c r="C414" t="s">
        <v>193</v>
      </c>
      <c r="D414" t="s">
        <v>72</v>
      </c>
      <c r="E414">
        <v>86</v>
      </c>
      <c r="F414">
        <v>119</v>
      </c>
      <c r="G414" s="1">
        <v>550</v>
      </c>
      <c r="H414" s="1">
        <v>550</v>
      </c>
      <c r="I414" s="1">
        <v>275</v>
      </c>
      <c r="J414" s="1">
        <v>500</v>
      </c>
    </row>
    <row r="415" spans="1:10" x14ac:dyDescent="0.3">
      <c r="A415" t="s">
        <v>13</v>
      </c>
      <c r="B415" t="s">
        <v>6</v>
      </c>
      <c r="C415" t="s">
        <v>193</v>
      </c>
      <c r="D415" t="s">
        <v>72</v>
      </c>
      <c r="E415">
        <v>86</v>
      </c>
      <c r="F415">
        <v>119</v>
      </c>
      <c r="G415" s="1">
        <v>780</v>
      </c>
      <c r="H415" s="1">
        <v>440</v>
      </c>
      <c r="I415" s="1">
        <v>528</v>
      </c>
      <c r="J415" s="1">
        <v>1200</v>
      </c>
    </row>
    <row r="416" spans="1:10" x14ac:dyDescent="0.3">
      <c r="A416" t="s">
        <v>13</v>
      </c>
      <c r="B416" t="s">
        <v>5</v>
      </c>
      <c r="C416" t="s">
        <v>193</v>
      </c>
      <c r="D416" t="s">
        <v>72</v>
      </c>
      <c r="E416">
        <v>86</v>
      </c>
      <c r="F416">
        <v>119</v>
      </c>
      <c r="G416" s="1">
        <v>840</v>
      </c>
      <c r="H416" s="1">
        <v>420</v>
      </c>
      <c r="I416" s="1">
        <v>378</v>
      </c>
      <c r="J416" s="1">
        <v>900</v>
      </c>
    </row>
    <row r="417" spans="1:10" x14ac:dyDescent="0.3">
      <c r="A417" t="s">
        <v>13</v>
      </c>
      <c r="B417" t="s">
        <v>4</v>
      </c>
      <c r="C417" t="s">
        <v>193</v>
      </c>
      <c r="D417" t="s">
        <v>72</v>
      </c>
      <c r="E417">
        <v>86</v>
      </c>
      <c r="F417">
        <v>119</v>
      </c>
      <c r="G417" s="1">
        <v>600</v>
      </c>
      <c r="H417" s="1">
        <v>400</v>
      </c>
      <c r="I417" s="1">
        <v>400</v>
      </c>
      <c r="J417" s="1">
        <v>1000</v>
      </c>
    </row>
    <row r="418" spans="1:10" x14ac:dyDescent="0.3">
      <c r="A418" t="s">
        <v>13</v>
      </c>
      <c r="B418" t="s">
        <v>3</v>
      </c>
      <c r="C418" t="s">
        <v>193</v>
      </c>
      <c r="D418" t="s">
        <v>72</v>
      </c>
      <c r="E418">
        <v>86</v>
      </c>
      <c r="F418">
        <v>119</v>
      </c>
      <c r="G418" s="1">
        <v>600</v>
      </c>
      <c r="H418" s="1">
        <v>310</v>
      </c>
      <c r="I418" s="1">
        <v>217</v>
      </c>
      <c r="J418" s="1">
        <v>700</v>
      </c>
    </row>
    <row r="419" spans="1:10" x14ac:dyDescent="0.3">
      <c r="A419" t="s">
        <v>13</v>
      </c>
      <c r="B419" t="s">
        <v>0</v>
      </c>
      <c r="C419" t="s">
        <v>193</v>
      </c>
      <c r="D419" t="s">
        <v>72</v>
      </c>
      <c r="E419">
        <v>86</v>
      </c>
      <c r="F419">
        <v>119</v>
      </c>
      <c r="G419" s="1">
        <v>150</v>
      </c>
      <c r="H419" s="1">
        <v>150</v>
      </c>
      <c r="I419" s="1">
        <v>300</v>
      </c>
      <c r="J419" s="1">
        <v>2000</v>
      </c>
    </row>
    <row r="420" spans="1:10" x14ac:dyDescent="0.3">
      <c r="A420" t="s">
        <v>13</v>
      </c>
      <c r="B420" t="s">
        <v>12</v>
      </c>
      <c r="C420" t="s">
        <v>193</v>
      </c>
      <c r="D420" t="s">
        <v>68</v>
      </c>
      <c r="E420">
        <v>86</v>
      </c>
      <c r="F420">
        <v>133</v>
      </c>
      <c r="G420" s="1">
        <v>870</v>
      </c>
      <c r="H420" s="1">
        <v>670</v>
      </c>
      <c r="I420" s="1">
        <v>1139</v>
      </c>
      <c r="J420" s="1">
        <v>1700</v>
      </c>
    </row>
    <row r="421" spans="1:10" x14ac:dyDescent="0.3">
      <c r="A421" t="s">
        <v>13</v>
      </c>
      <c r="B421" t="s">
        <v>9</v>
      </c>
      <c r="C421" t="s">
        <v>193</v>
      </c>
      <c r="D421" t="s">
        <v>68</v>
      </c>
      <c r="E421">
        <v>86</v>
      </c>
      <c r="F421">
        <v>133</v>
      </c>
      <c r="G421" s="1">
        <v>1000</v>
      </c>
      <c r="H421" s="1">
        <v>1000</v>
      </c>
      <c r="I421" s="1">
        <v>1800</v>
      </c>
      <c r="J421" s="1">
        <v>1800</v>
      </c>
    </row>
    <row r="422" spans="1:10" x14ac:dyDescent="0.3">
      <c r="A422" t="s">
        <v>13</v>
      </c>
      <c r="B422" t="s">
        <v>8</v>
      </c>
      <c r="C422" t="s">
        <v>193</v>
      </c>
      <c r="D422" t="s">
        <v>68</v>
      </c>
      <c r="E422">
        <v>86</v>
      </c>
      <c r="F422">
        <v>133</v>
      </c>
      <c r="G422" s="1">
        <v>1500</v>
      </c>
      <c r="H422" s="1">
        <v>1500</v>
      </c>
      <c r="I422" s="1">
        <v>3000</v>
      </c>
      <c r="J422" s="1">
        <v>2000</v>
      </c>
    </row>
    <row r="423" spans="1:10" x14ac:dyDescent="0.3">
      <c r="A423" t="s">
        <v>13</v>
      </c>
      <c r="B423" t="s">
        <v>7</v>
      </c>
      <c r="C423" t="s">
        <v>193</v>
      </c>
      <c r="D423" t="s">
        <v>68</v>
      </c>
      <c r="E423">
        <v>86</v>
      </c>
      <c r="F423">
        <v>133</v>
      </c>
      <c r="G423" s="1">
        <v>1500</v>
      </c>
      <c r="H423" s="1">
        <v>1350</v>
      </c>
      <c r="I423" s="1">
        <v>2025</v>
      </c>
      <c r="J423" s="1">
        <v>1500</v>
      </c>
    </row>
    <row r="424" spans="1:10" x14ac:dyDescent="0.3">
      <c r="A424" t="s">
        <v>13</v>
      </c>
      <c r="B424" t="s">
        <v>6</v>
      </c>
      <c r="C424" t="s">
        <v>193</v>
      </c>
      <c r="D424" t="s">
        <v>68</v>
      </c>
      <c r="E424">
        <v>86</v>
      </c>
      <c r="F424">
        <v>133</v>
      </c>
      <c r="G424" s="1">
        <v>2000</v>
      </c>
      <c r="H424" s="1">
        <v>2000</v>
      </c>
      <c r="I424" s="1">
        <v>3600</v>
      </c>
      <c r="J424" s="1">
        <v>1800</v>
      </c>
    </row>
    <row r="425" spans="1:10" x14ac:dyDescent="0.3">
      <c r="A425" t="s">
        <v>13</v>
      </c>
      <c r="B425" t="s">
        <v>5</v>
      </c>
      <c r="C425" t="s">
        <v>193</v>
      </c>
      <c r="D425" t="s">
        <v>68</v>
      </c>
      <c r="E425">
        <v>86</v>
      </c>
      <c r="F425">
        <v>133</v>
      </c>
      <c r="G425" s="1">
        <v>2000</v>
      </c>
      <c r="H425" s="1">
        <v>2000</v>
      </c>
      <c r="I425" s="1">
        <v>2400</v>
      </c>
      <c r="J425" s="1">
        <v>1200</v>
      </c>
    </row>
    <row r="426" spans="1:10" x14ac:dyDescent="0.3">
      <c r="A426" t="s">
        <v>13</v>
      </c>
      <c r="B426" t="s">
        <v>4</v>
      </c>
      <c r="C426" t="s">
        <v>193</v>
      </c>
      <c r="D426" t="s">
        <v>68</v>
      </c>
      <c r="E426">
        <v>86</v>
      </c>
      <c r="F426">
        <v>133</v>
      </c>
      <c r="G426" s="1">
        <v>2000</v>
      </c>
      <c r="H426" s="1">
        <v>2000</v>
      </c>
      <c r="I426" s="1">
        <v>3000</v>
      </c>
      <c r="J426" s="1">
        <v>1500</v>
      </c>
    </row>
    <row r="427" spans="1:10" x14ac:dyDescent="0.3">
      <c r="A427" t="s">
        <v>13</v>
      </c>
      <c r="B427" t="s">
        <v>3</v>
      </c>
      <c r="C427" t="s">
        <v>193</v>
      </c>
      <c r="D427" t="s">
        <v>68</v>
      </c>
      <c r="E427">
        <v>86</v>
      </c>
      <c r="F427">
        <v>133</v>
      </c>
      <c r="G427" s="1">
        <v>2000</v>
      </c>
      <c r="H427" s="1">
        <v>1965</v>
      </c>
      <c r="I427" s="1">
        <v>1572</v>
      </c>
      <c r="J427" s="1">
        <v>800</v>
      </c>
    </row>
    <row r="428" spans="1:10" x14ac:dyDescent="0.3">
      <c r="A428" t="s">
        <v>13</v>
      </c>
      <c r="B428" t="s">
        <v>0</v>
      </c>
      <c r="C428" t="s">
        <v>193</v>
      </c>
      <c r="D428" t="s">
        <v>68</v>
      </c>
      <c r="E428">
        <v>86</v>
      </c>
      <c r="F428">
        <v>133</v>
      </c>
      <c r="G428" s="1">
        <v>2000</v>
      </c>
      <c r="H428" s="1">
        <v>330</v>
      </c>
      <c r="I428" s="1">
        <v>297</v>
      </c>
      <c r="J428" s="1">
        <v>900</v>
      </c>
    </row>
    <row r="429" spans="1:10" x14ac:dyDescent="0.3">
      <c r="A429" t="s">
        <v>13</v>
      </c>
      <c r="B429" t="s">
        <v>9</v>
      </c>
      <c r="C429" t="s">
        <v>193</v>
      </c>
      <c r="D429" t="s">
        <v>65</v>
      </c>
      <c r="E429">
        <v>86</v>
      </c>
      <c r="F429">
        <v>147</v>
      </c>
      <c r="G429" s="1">
        <v>500</v>
      </c>
      <c r="H429" s="1">
        <v>500</v>
      </c>
      <c r="I429" s="1">
        <v>900</v>
      </c>
      <c r="J429" s="1">
        <v>1800</v>
      </c>
    </row>
    <row r="430" spans="1:10" x14ac:dyDescent="0.3">
      <c r="A430" t="s">
        <v>13</v>
      </c>
      <c r="B430" t="s">
        <v>8</v>
      </c>
      <c r="C430" t="s">
        <v>193</v>
      </c>
      <c r="D430" t="s">
        <v>65</v>
      </c>
      <c r="E430">
        <v>86</v>
      </c>
      <c r="F430">
        <v>147</v>
      </c>
      <c r="G430" s="1">
        <v>1000</v>
      </c>
      <c r="H430" s="1">
        <v>1000</v>
      </c>
      <c r="I430" s="1">
        <v>2000</v>
      </c>
      <c r="J430" s="1">
        <v>2000</v>
      </c>
    </row>
    <row r="431" spans="1:10" x14ac:dyDescent="0.3">
      <c r="A431" t="s">
        <v>13</v>
      </c>
      <c r="B431" t="s">
        <v>7</v>
      </c>
      <c r="C431" t="s">
        <v>193</v>
      </c>
      <c r="D431" t="s">
        <v>65</v>
      </c>
      <c r="E431">
        <v>86</v>
      </c>
      <c r="F431">
        <v>147</v>
      </c>
      <c r="G431" s="1">
        <v>1000</v>
      </c>
      <c r="H431" s="1">
        <v>900</v>
      </c>
      <c r="I431" s="1">
        <v>1350</v>
      </c>
      <c r="J431" s="1">
        <v>1500</v>
      </c>
    </row>
    <row r="432" spans="1:10" x14ac:dyDescent="0.3">
      <c r="A432" t="s">
        <v>13</v>
      </c>
      <c r="B432" t="s">
        <v>6</v>
      </c>
      <c r="C432" t="s">
        <v>193</v>
      </c>
      <c r="D432" t="s">
        <v>65</v>
      </c>
      <c r="E432">
        <v>86</v>
      </c>
      <c r="F432">
        <v>147</v>
      </c>
      <c r="G432" s="1">
        <v>2000</v>
      </c>
      <c r="H432" s="1">
        <v>2000</v>
      </c>
      <c r="I432" s="1">
        <v>3600</v>
      </c>
      <c r="J432" s="1">
        <v>1800</v>
      </c>
    </row>
    <row r="433" spans="1:10" x14ac:dyDescent="0.3">
      <c r="A433" t="s">
        <v>13</v>
      </c>
      <c r="B433" t="s">
        <v>5</v>
      </c>
      <c r="C433" t="s">
        <v>193</v>
      </c>
      <c r="D433" t="s">
        <v>65</v>
      </c>
      <c r="E433">
        <v>86</v>
      </c>
      <c r="F433">
        <v>147</v>
      </c>
      <c r="G433" s="1">
        <v>2000</v>
      </c>
      <c r="H433" s="1">
        <v>2000</v>
      </c>
      <c r="I433" s="1">
        <v>2000</v>
      </c>
      <c r="J433" s="1">
        <v>1000</v>
      </c>
    </row>
    <row r="434" spans="1:10" x14ac:dyDescent="0.3">
      <c r="A434" t="s">
        <v>13</v>
      </c>
      <c r="B434" t="s">
        <v>4</v>
      </c>
      <c r="C434" t="s">
        <v>193</v>
      </c>
      <c r="D434" t="s">
        <v>65</v>
      </c>
      <c r="E434">
        <v>86</v>
      </c>
      <c r="F434">
        <v>147</v>
      </c>
      <c r="G434" s="1">
        <v>2000</v>
      </c>
      <c r="H434" s="1">
        <v>2000</v>
      </c>
      <c r="I434" s="1">
        <v>3000</v>
      </c>
      <c r="J434" s="1">
        <v>1500</v>
      </c>
    </row>
    <row r="435" spans="1:10" x14ac:dyDescent="0.3">
      <c r="A435" t="s">
        <v>13</v>
      </c>
      <c r="B435" t="s">
        <v>3</v>
      </c>
      <c r="C435" t="s">
        <v>193</v>
      </c>
      <c r="D435" t="s">
        <v>65</v>
      </c>
      <c r="E435">
        <v>86</v>
      </c>
      <c r="F435">
        <v>147</v>
      </c>
      <c r="G435" s="1">
        <v>2000</v>
      </c>
      <c r="H435" s="1">
        <v>1950</v>
      </c>
      <c r="I435" s="1">
        <v>1755</v>
      </c>
      <c r="J435" s="1">
        <v>900</v>
      </c>
    </row>
    <row r="436" spans="1:10" x14ac:dyDescent="0.3">
      <c r="A436" t="s">
        <v>13</v>
      </c>
      <c r="B436" t="s">
        <v>0</v>
      </c>
      <c r="C436" t="s">
        <v>193</v>
      </c>
      <c r="D436" t="s">
        <v>65</v>
      </c>
      <c r="E436">
        <v>86</v>
      </c>
      <c r="F436">
        <v>147</v>
      </c>
      <c r="G436" s="1">
        <v>2000</v>
      </c>
      <c r="H436" s="1">
        <v>350</v>
      </c>
      <c r="I436" s="1">
        <v>315</v>
      </c>
      <c r="J436" s="1">
        <v>900</v>
      </c>
    </row>
    <row r="437" spans="1:10" x14ac:dyDescent="0.3">
      <c r="A437" t="s">
        <v>13</v>
      </c>
      <c r="B437" t="s">
        <v>7</v>
      </c>
      <c r="C437" t="s">
        <v>193</v>
      </c>
      <c r="D437" t="s">
        <v>58</v>
      </c>
      <c r="E437">
        <v>86</v>
      </c>
      <c r="F437">
        <v>154</v>
      </c>
      <c r="G437" s="1">
        <v>320</v>
      </c>
      <c r="H437" s="1">
        <v>320</v>
      </c>
      <c r="I437" s="1">
        <v>160</v>
      </c>
      <c r="J437" s="1">
        <v>500</v>
      </c>
    </row>
    <row r="438" spans="1:10" x14ac:dyDescent="0.3">
      <c r="A438" t="s">
        <v>13</v>
      </c>
      <c r="B438" t="s">
        <v>6</v>
      </c>
      <c r="C438" t="s">
        <v>193</v>
      </c>
      <c r="D438" t="s">
        <v>58</v>
      </c>
      <c r="E438">
        <v>86</v>
      </c>
      <c r="F438">
        <v>154</v>
      </c>
      <c r="G438" s="1">
        <v>410</v>
      </c>
      <c r="H438" s="1">
        <v>280</v>
      </c>
      <c r="I438" s="1">
        <v>392</v>
      </c>
      <c r="J438" s="1">
        <v>1400</v>
      </c>
    </row>
    <row r="439" spans="1:10" x14ac:dyDescent="0.3">
      <c r="A439" t="s">
        <v>13</v>
      </c>
      <c r="B439" t="s">
        <v>5</v>
      </c>
      <c r="C439" t="s">
        <v>193</v>
      </c>
      <c r="D439" t="s">
        <v>58</v>
      </c>
      <c r="E439">
        <v>86</v>
      </c>
      <c r="F439">
        <v>154</v>
      </c>
      <c r="G439" s="1">
        <v>410</v>
      </c>
      <c r="H439" s="1">
        <v>220</v>
      </c>
      <c r="I439" s="1">
        <v>198</v>
      </c>
      <c r="J439" s="1">
        <v>900</v>
      </c>
    </row>
    <row r="440" spans="1:10" x14ac:dyDescent="0.3">
      <c r="A440" t="s">
        <v>13</v>
      </c>
      <c r="B440" t="s">
        <v>4</v>
      </c>
      <c r="C440" t="s">
        <v>193</v>
      </c>
      <c r="D440" t="s">
        <v>58</v>
      </c>
      <c r="E440">
        <v>86</v>
      </c>
      <c r="F440">
        <v>154</v>
      </c>
      <c r="G440" s="1">
        <v>410</v>
      </c>
      <c r="H440" s="1">
        <v>410</v>
      </c>
      <c r="I440" s="1">
        <v>492</v>
      </c>
      <c r="J440" s="1">
        <v>1200</v>
      </c>
    </row>
    <row r="441" spans="1:10" x14ac:dyDescent="0.3">
      <c r="A441" t="s">
        <v>13</v>
      </c>
      <c r="B441" t="s">
        <v>3</v>
      </c>
      <c r="C441" t="s">
        <v>193</v>
      </c>
      <c r="D441" t="s">
        <v>58</v>
      </c>
      <c r="E441">
        <v>86</v>
      </c>
      <c r="F441">
        <v>154</v>
      </c>
      <c r="G441" s="1">
        <v>410</v>
      </c>
      <c r="H441" s="1">
        <v>410</v>
      </c>
      <c r="I441" s="1">
        <v>287</v>
      </c>
      <c r="J441" s="1">
        <v>700</v>
      </c>
    </row>
    <row r="442" spans="1:10" x14ac:dyDescent="0.3">
      <c r="A442" t="s">
        <v>13</v>
      </c>
      <c r="B442" t="s">
        <v>0</v>
      </c>
      <c r="C442" t="s">
        <v>193</v>
      </c>
      <c r="D442" t="s">
        <v>58</v>
      </c>
      <c r="E442">
        <v>86</v>
      </c>
      <c r="F442">
        <v>154</v>
      </c>
      <c r="G442" s="1">
        <v>120</v>
      </c>
      <c r="H442" s="1">
        <v>120</v>
      </c>
      <c r="I442" s="1">
        <v>264</v>
      </c>
      <c r="J442" s="1">
        <v>2200</v>
      </c>
    </row>
    <row r="443" spans="1:10" x14ac:dyDescent="0.3">
      <c r="A443" t="s">
        <v>11</v>
      </c>
      <c r="B443" t="s">
        <v>6</v>
      </c>
      <c r="C443" t="s">
        <v>193</v>
      </c>
      <c r="D443" t="s">
        <v>64</v>
      </c>
      <c r="E443">
        <v>86</v>
      </c>
      <c r="F443">
        <v>7</v>
      </c>
      <c r="G443" s="1">
        <v>0</v>
      </c>
      <c r="H443" s="1">
        <v>0</v>
      </c>
      <c r="I443" s="1">
        <v>0</v>
      </c>
      <c r="J443" s="1">
        <v>0</v>
      </c>
    </row>
    <row r="444" spans="1:10" x14ac:dyDescent="0.3">
      <c r="A444" t="s">
        <v>11</v>
      </c>
      <c r="B444" t="s">
        <v>5</v>
      </c>
      <c r="C444" t="s">
        <v>193</v>
      </c>
      <c r="D444" t="s">
        <v>64</v>
      </c>
      <c r="E444">
        <v>86</v>
      </c>
      <c r="F444">
        <v>7</v>
      </c>
      <c r="G444" s="1">
        <v>1550</v>
      </c>
      <c r="H444" s="1">
        <v>0</v>
      </c>
      <c r="I444" s="1">
        <v>0</v>
      </c>
      <c r="J444" s="1">
        <v>0</v>
      </c>
    </row>
    <row r="445" spans="1:10" x14ac:dyDescent="0.3">
      <c r="A445" t="s">
        <v>11</v>
      </c>
      <c r="B445" t="s">
        <v>4</v>
      </c>
      <c r="C445" t="s">
        <v>193</v>
      </c>
      <c r="D445" t="s">
        <v>64</v>
      </c>
      <c r="E445">
        <v>86</v>
      </c>
      <c r="F445">
        <v>7</v>
      </c>
      <c r="G445" s="1">
        <v>1550</v>
      </c>
      <c r="H445" s="1">
        <v>0</v>
      </c>
      <c r="I445" s="1">
        <v>0</v>
      </c>
      <c r="J445" s="1">
        <v>0</v>
      </c>
    </row>
    <row r="446" spans="1:10" x14ac:dyDescent="0.3">
      <c r="A446" t="s">
        <v>11</v>
      </c>
      <c r="B446" t="s">
        <v>3</v>
      </c>
      <c r="C446" t="s">
        <v>193</v>
      </c>
      <c r="D446" t="s">
        <v>64</v>
      </c>
      <c r="E446">
        <v>86</v>
      </c>
      <c r="F446">
        <v>7</v>
      </c>
      <c r="G446" s="1">
        <v>1550</v>
      </c>
      <c r="H446" s="1">
        <v>190</v>
      </c>
      <c r="I446" s="1">
        <v>133</v>
      </c>
      <c r="J446" s="1">
        <v>700</v>
      </c>
    </row>
    <row r="447" spans="1:10" x14ac:dyDescent="0.3">
      <c r="A447" t="s">
        <v>11</v>
      </c>
      <c r="B447" t="s">
        <v>0</v>
      </c>
      <c r="C447" t="s">
        <v>193</v>
      </c>
      <c r="D447" t="s">
        <v>64</v>
      </c>
      <c r="E447">
        <v>86</v>
      </c>
      <c r="F447">
        <v>7</v>
      </c>
      <c r="G447" s="1">
        <v>2110</v>
      </c>
      <c r="H447" s="1">
        <v>1060</v>
      </c>
      <c r="I447" s="1">
        <v>1590</v>
      </c>
      <c r="J447" s="1">
        <v>1500</v>
      </c>
    </row>
    <row r="448" spans="1:10" x14ac:dyDescent="0.3">
      <c r="A448" t="s">
        <v>11</v>
      </c>
      <c r="B448" t="s">
        <v>9</v>
      </c>
      <c r="C448" t="s">
        <v>193</v>
      </c>
      <c r="D448" t="s">
        <v>62</v>
      </c>
      <c r="E448">
        <v>86</v>
      </c>
      <c r="F448">
        <v>14</v>
      </c>
      <c r="G448" s="1">
        <v>200</v>
      </c>
      <c r="H448" s="1">
        <v>0</v>
      </c>
      <c r="I448" s="1">
        <v>0</v>
      </c>
      <c r="J448" s="1">
        <v>0</v>
      </c>
    </row>
    <row r="449" spans="1:10" x14ac:dyDescent="0.3">
      <c r="A449" t="s">
        <v>11</v>
      </c>
      <c r="B449" t="s">
        <v>8</v>
      </c>
      <c r="C449" t="s">
        <v>193</v>
      </c>
      <c r="D449" t="s">
        <v>62</v>
      </c>
      <c r="E449">
        <v>86</v>
      </c>
      <c r="F449">
        <v>14</v>
      </c>
      <c r="G449" s="1">
        <v>5500</v>
      </c>
      <c r="H449" s="1">
        <v>0</v>
      </c>
      <c r="I449" s="1">
        <v>0</v>
      </c>
      <c r="J449" s="1">
        <v>0</v>
      </c>
    </row>
    <row r="450" spans="1:10" x14ac:dyDescent="0.3">
      <c r="A450" t="s">
        <v>11</v>
      </c>
      <c r="B450" t="s">
        <v>7</v>
      </c>
      <c r="C450" t="s">
        <v>193</v>
      </c>
      <c r="D450" t="s">
        <v>62</v>
      </c>
      <c r="E450">
        <v>86</v>
      </c>
      <c r="F450">
        <v>14</v>
      </c>
      <c r="G450" s="1">
        <v>5500</v>
      </c>
      <c r="H450" s="1">
        <v>0</v>
      </c>
      <c r="I450" s="1">
        <v>0</v>
      </c>
      <c r="J450" s="1">
        <v>0</v>
      </c>
    </row>
    <row r="451" spans="1:10" x14ac:dyDescent="0.3">
      <c r="A451" t="s">
        <v>11</v>
      </c>
      <c r="B451" t="s">
        <v>6</v>
      </c>
      <c r="C451" t="s">
        <v>193</v>
      </c>
      <c r="D451" t="s">
        <v>62</v>
      </c>
      <c r="E451">
        <v>86</v>
      </c>
      <c r="F451">
        <v>14</v>
      </c>
      <c r="G451" s="1">
        <v>7700</v>
      </c>
      <c r="H451" s="1">
        <v>0</v>
      </c>
      <c r="I451" s="1">
        <v>0</v>
      </c>
      <c r="J451" s="1">
        <v>0</v>
      </c>
    </row>
    <row r="452" spans="1:10" x14ac:dyDescent="0.3">
      <c r="A452" t="s">
        <v>11</v>
      </c>
      <c r="B452" t="s">
        <v>5</v>
      </c>
      <c r="C452" t="s">
        <v>193</v>
      </c>
      <c r="D452" t="s">
        <v>62</v>
      </c>
      <c r="E452">
        <v>86</v>
      </c>
      <c r="F452">
        <v>14</v>
      </c>
      <c r="G452" s="1">
        <v>6100</v>
      </c>
      <c r="H452" s="1">
        <v>0</v>
      </c>
      <c r="I452" s="1">
        <v>0</v>
      </c>
      <c r="J452" s="1">
        <v>0</v>
      </c>
    </row>
    <row r="453" spans="1:10" x14ac:dyDescent="0.3">
      <c r="A453" t="s">
        <v>11</v>
      </c>
      <c r="B453" t="s">
        <v>4</v>
      </c>
      <c r="C453" t="s">
        <v>193</v>
      </c>
      <c r="D453" t="s">
        <v>62</v>
      </c>
      <c r="E453">
        <v>86</v>
      </c>
      <c r="F453">
        <v>14</v>
      </c>
      <c r="G453" s="1">
        <v>6100</v>
      </c>
      <c r="H453" s="1">
        <v>0</v>
      </c>
      <c r="I453" s="1">
        <v>0</v>
      </c>
      <c r="J453" s="1">
        <v>0</v>
      </c>
    </row>
    <row r="454" spans="1:10" x14ac:dyDescent="0.3">
      <c r="A454" t="s">
        <v>11</v>
      </c>
      <c r="B454" t="s">
        <v>3</v>
      </c>
      <c r="C454" t="s">
        <v>193</v>
      </c>
      <c r="D454" t="s">
        <v>62</v>
      </c>
      <c r="E454">
        <v>86</v>
      </c>
      <c r="F454">
        <v>14</v>
      </c>
      <c r="G454" s="1">
        <v>7100</v>
      </c>
      <c r="H454" s="1">
        <v>350</v>
      </c>
      <c r="I454" s="1">
        <v>245</v>
      </c>
      <c r="J454" s="1">
        <v>700</v>
      </c>
    </row>
    <row r="455" spans="1:10" x14ac:dyDescent="0.3">
      <c r="A455" t="s">
        <v>11</v>
      </c>
      <c r="B455" t="s">
        <v>0</v>
      </c>
      <c r="C455" t="s">
        <v>193</v>
      </c>
      <c r="D455" t="s">
        <v>62</v>
      </c>
      <c r="E455">
        <v>86</v>
      </c>
      <c r="F455">
        <v>14</v>
      </c>
      <c r="G455" s="1">
        <v>6620</v>
      </c>
      <c r="H455" s="1">
        <v>2060</v>
      </c>
      <c r="I455" s="1">
        <v>3708</v>
      </c>
      <c r="J455" s="1">
        <v>1800</v>
      </c>
    </row>
    <row r="456" spans="1:10" x14ac:dyDescent="0.3">
      <c r="A456" t="s">
        <v>11</v>
      </c>
      <c r="B456" t="s">
        <v>7</v>
      </c>
      <c r="C456" t="s">
        <v>193</v>
      </c>
      <c r="D456" t="s">
        <v>44</v>
      </c>
      <c r="E456">
        <v>86</v>
      </c>
      <c r="F456">
        <v>35</v>
      </c>
      <c r="G456" s="1">
        <v>600</v>
      </c>
      <c r="H456" s="1">
        <v>600</v>
      </c>
      <c r="I456" s="1">
        <v>1080</v>
      </c>
      <c r="J456" s="1">
        <v>1800</v>
      </c>
    </row>
    <row r="457" spans="1:10" x14ac:dyDescent="0.3">
      <c r="A457" t="s">
        <v>11</v>
      </c>
      <c r="B457" t="s">
        <v>6</v>
      </c>
      <c r="C457" t="s">
        <v>193</v>
      </c>
      <c r="D457" t="s">
        <v>44</v>
      </c>
      <c r="E457">
        <v>86</v>
      </c>
      <c r="F457">
        <v>35</v>
      </c>
      <c r="G457" s="1">
        <v>600</v>
      </c>
      <c r="H457" s="1">
        <v>600</v>
      </c>
      <c r="I457" s="1">
        <v>1080</v>
      </c>
      <c r="J457" s="1">
        <v>1800</v>
      </c>
    </row>
    <row r="458" spans="1:10" x14ac:dyDescent="0.3">
      <c r="A458" t="s">
        <v>11</v>
      </c>
      <c r="B458" t="s">
        <v>5</v>
      </c>
      <c r="C458" t="s">
        <v>193</v>
      </c>
      <c r="D458" t="s">
        <v>44</v>
      </c>
      <c r="E458">
        <v>86</v>
      </c>
      <c r="F458">
        <v>35</v>
      </c>
      <c r="G458" s="1">
        <v>600</v>
      </c>
      <c r="H458" s="1">
        <v>600</v>
      </c>
      <c r="I458" s="1">
        <v>1200</v>
      </c>
      <c r="J458" s="1">
        <v>2000</v>
      </c>
    </row>
    <row r="459" spans="1:10" x14ac:dyDescent="0.3">
      <c r="A459" t="s">
        <v>11</v>
      </c>
      <c r="B459" t="s">
        <v>4</v>
      </c>
      <c r="C459" t="s">
        <v>193</v>
      </c>
      <c r="D459" t="s">
        <v>44</v>
      </c>
      <c r="E459">
        <v>86</v>
      </c>
      <c r="F459">
        <v>35</v>
      </c>
      <c r="G459" s="1">
        <v>500</v>
      </c>
      <c r="H459" s="1">
        <v>500</v>
      </c>
      <c r="I459" s="1">
        <v>900</v>
      </c>
      <c r="J459" s="1">
        <v>1800</v>
      </c>
    </row>
    <row r="460" spans="1:10" x14ac:dyDescent="0.3">
      <c r="A460" t="s">
        <v>11</v>
      </c>
      <c r="B460" t="s">
        <v>3</v>
      </c>
      <c r="C460" t="s">
        <v>193</v>
      </c>
      <c r="D460" t="s">
        <v>44</v>
      </c>
      <c r="E460">
        <v>86</v>
      </c>
      <c r="F460">
        <v>35</v>
      </c>
      <c r="G460" s="1">
        <v>500</v>
      </c>
      <c r="H460" s="1">
        <v>490</v>
      </c>
      <c r="I460" s="1">
        <v>441</v>
      </c>
      <c r="J460" s="1">
        <v>900</v>
      </c>
    </row>
    <row r="461" spans="1:10" x14ac:dyDescent="0.3">
      <c r="A461" t="s">
        <v>11</v>
      </c>
      <c r="B461" t="s">
        <v>0</v>
      </c>
      <c r="C461" t="s">
        <v>193</v>
      </c>
      <c r="D461" t="s">
        <v>44</v>
      </c>
      <c r="E461">
        <v>86</v>
      </c>
      <c r="F461">
        <v>35</v>
      </c>
      <c r="G461" s="1">
        <v>500</v>
      </c>
      <c r="H461" s="1">
        <v>25</v>
      </c>
      <c r="I461" s="1">
        <v>25</v>
      </c>
      <c r="J461" s="1">
        <v>1000</v>
      </c>
    </row>
    <row r="462" spans="1:10" x14ac:dyDescent="0.3">
      <c r="A462" t="s">
        <v>11</v>
      </c>
      <c r="B462" t="s">
        <v>12</v>
      </c>
      <c r="C462" t="s">
        <v>193</v>
      </c>
      <c r="D462" t="s">
        <v>74</v>
      </c>
      <c r="E462">
        <v>86</v>
      </c>
      <c r="F462">
        <v>42</v>
      </c>
      <c r="G462" s="1">
        <v>180</v>
      </c>
      <c r="H462" s="1">
        <v>0</v>
      </c>
      <c r="I462" s="1">
        <v>0</v>
      </c>
      <c r="J462" s="1">
        <v>0</v>
      </c>
    </row>
    <row r="463" spans="1:10" x14ac:dyDescent="0.3">
      <c r="A463" t="s">
        <v>11</v>
      </c>
      <c r="B463" t="s">
        <v>9</v>
      </c>
      <c r="C463" t="s">
        <v>193</v>
      </c>
      <c r="D463" t="s">
        <v>74</v>
      </c>
      <c r="E463">
        <v>86</v>
      </c>
      <c r="F463">
        <v>42</v>
      </c>
      <c r="G463" s="1">
        <v>200</v>
      </c>
      <c r="H463" s="1">
        <v>0</v>
      </c>
      <c r="I463" s="1">
        <v>0</v>
      </c>
      <c r="J463" s="1">
        <v>0</v>
      </c>
    </row>
    <row r="464" spans="1:10" x14ac:dyDescent="0.3">
      <c r="A464" t="s">
        <v>11</v>
      </c>
      <c r="B464" t="s">
        <v>7</v>
      </c>
      <c r="C464" t="s">
        <v>193</v>
      </c>
      <c r="D464" t="s">
        <v>74</v>
      </c>
      <c r="E464">
        <v>86</v>
      </c>
      <c r="F464">
        <v>42</v>
      </c>
      <c r="G464" s="1">
        <v>500</v>
      </c>
      <c r="H464" s="1">
        <v>0</v>
      </c>
      <c r="I464" s="1">
        <v>0</v>
      </c>
      <c r="J464" s="1">
        <v>0</v>
      </c>
    </row>
    <row r="465" spans="1:10" x14ac:dyDescent="0.3">
      <c r="A465" t="s">
        <v>11</v>
      </c>
      <c r="B465" t="s">
        <v>6</v>
      </c>
      <c r="C465" t="s">
        <v>193</v>
      </c>
      <c r="D465" t="s">
        <v>74</v>
      </c>
      <c r="E465">
        <v>86</v>
      </c>
      <c r="F465">
        <v>42</v>
      </c>
      <c r="G465" s="1">
        <v>1750</v>
      </c>
      <c r="H465" s="1">
        <v>0</v>
      </c>
      <c r="I465" s="1">
        <v>0</v>
      </c>
      <c r="J465" s="1">
        <v>0</v>
      </c>
    </row>
    <row r="466" spans="1:10" x14ac:dyDescent="0.3">
      <c r="A466" t="s">
        <v>11</v>
      </c>
      <c r="B466" t="s">
        <v>5</v>
      </c>
      <c r="C466" t="s">
        <v>193</v>
      </c>
      <c r="D466" t="s">
        <v>74</v>
      </c>
      <c r="E466">
        <v>86</v>
      </c>
      <c r="F466">
        <v>42</v>
      </c>
      <c r="G466" s="1">
        <v>1500</v>
      </c>
      <c r="H466" s="1">
        <v>0</v>
      </c>
      <c r="I466" s="1">
        <v>0</v>
      </c>
      <c r="J466" s="1">
        <v>0</v>
      </c>
    </row>
    <row r="467" spans="1:10" x14ac:dyDescent="0.3">
      <c r="A467" t="s">
        <v>11</v>
      </c>
      <c r="B467" t="s">
        <v>4</v>
      </c>
      <c r="C467" t="s">
        <v>193</v>
      </c>
      <c r="D467" t="s">
        <v>74</v>
      </c>
      <c r="E467">
        <v>86</v>
      </c>
      <c r="F467">
        <v>42</v>
      </c>
      <c r="G467" s="1">
        <v>1500</v>
      </c>
      <c r="H467" s="1">
        <v>80</v>
      </c>
      <c r="I467" s="1">
        <v>80</v>
      </c>
      <c r="J467" s="1">
        <v>1000</v>
      </c>
    </row>
    <row r="468" spans="1:10" x14ac:dyDescent="0.3">
      <c r="A468" t="s">
        <v>11</v>
      </c>
      <c r="B468" t="s">
        <v>3</v>
      </c>
      <c r="C468" t="s">
        <v>193</v>
      </c>
      <c r="D468" t="s">
        <v>74</v>
      </c>
      <c r="E468">
        <v>86</v>
      </c>
      <c r="F468">
        <v>42</v>
      </c>
      <c r="G468" s="1">
        <v>1750</v>
      </c>
      <c r="H468" s="1">
        <v>170</v>
      </c>
      <c r="I468" s="1">
        <v>119</v>
      </c>
      <c r="J468" s="1">
        <v>700</v>
      </c>
    </row>
    <row r="469" spans="1:10" x14ac:dyDescent="0.3">
      <c r="A469" t="s">
        <v>11</v>
      </c>
      <c r="B469" t="s">
        <v>0</v>
      </c>
      <c r="C469" t="s">
        <v>193</v>
      </c>
      <c r="D469" t="s">
        <v>74</v>
      </c>
      <c r="E469">
        <v>86</v>
      </c>
      <c r="F469">
        <v>42</v>
      </c>
      <c r="G469" s="1">
        <v>2670</v>
      </c>
      <c r="H469" s="1">
        <v>1460</v>
      </c>
      <c r="I469" s="1">
        <v>2190</v>
      </c>
      <c r="J469" s="1">
        <v>1500</v>
      </c>
    </row>
    <row r="470" spans="1:10" x14ac:dyDescent="0.3">
      <c r="A470" t="s">
        <v>11</v>
      </c>
      <c r="B470" t="s">
        <v>7</v>
      </c>
      <c r="C470" t="s">
        <v>193</v>
      </c>
      <c r="D470" t="s">
        <v>41</v>
      </c>
      <c r="E470">
        <v>86</v>
      </c>
      <c r="F470">
        <v>49</v>
      </c>
      <c r="G470" s="1">
        <v>2500</v>
      </c>
      <c r="H470" s="1">
        <v>2500</v>
      </c>
      <c r="I470" s="1">
        <v>4500</v>
      </c>
      <c r="J470" s="1">
        <v>1800</v>
      </c>
    </row>
    <row r="471" spans="1:10" x14ac:dyDescent="0.3">
      <c r="A471" t="s">
        <v>11</v>
      </c>
      <c r="B471" t="s">
        <v>6</v>
      </c>
      <c r="C471" t="s">
        <v>193</v>
      </c>
      <c r="D471" t="s">
        <v>41</v>
      </c>
      <c r="E471">
        <v>86</v>
      </c>
      <c r="F471">
        <v>49</v>
      </c>
      <c r="G471" s="1">
        <v>2500</v>
      </c>
      <c r="H471" s="1">
        <v>2500</v>
      </c>
      <c r="I471" s="1">
        <v>4500</v>
      </c>
      <c r="J471" s="1">
        <v>1800</v>
      </c>
    </row>
    <row r="472" spans="1:10" x14ac:dyDescent="0.3">
      <c r="A472" t="s">
        <v>11</v>
      </c>
      <c r="B472" t="s">
        <v>12</v>
      </c>
      <c r="C472" t="s">
        <v>193</v>
      </c>
      <c r="D472" t="s">
        <v>75</v>
      </c>
      <c r="E472">
        <v>86</v>
      </c>
      <c r="F472">
        <v>77</v>
      </c>
      <c r="G472" s="1">
        <v>240</v>
      </c>
      <c r="H472" s="1">
        <v>0</v>
      </c>
      <c r="I472" s="1">
        <v>0</v>
      </c>
      <c r="J472" s="1">
        <v>0</v>
      </c>
    </row>
    <row r="473" spans="1:10" x14ac:dyDescent="0.3">
      <c r="A473" t="s">
        <v>11</v>
      </c>
      <c r="B473" t="s">
        <v>9</v>
      </c>
      <c r="C473" t="s">
        <v>193</v>
      </c>
      <c r="D473" t="s">
        <v>75</v>
      </c>
      <c r="E473">
        <v>86</v>
      </c>
      <c r="F473">
        <v>77</v>
      </c>
      <c r="G473" s="1">
        <v>550</v>
      </c>
      <c r="H473" s="1">
        <v>0</v>
      </c>
      <c r="I473" s="1">
        <v>0</v>
      </c>
      <c r="J473" s="1">
        <v>0</v>
      </c>
    </row>
    <row r="474" spans="1:10" x14ac:dyDescent="0.3">
      <c r="A474" t="s">
        <v>11</v>
      </c>
      <c r="B474" t="s">
        <v>8</v>
      </c>
      <c r="C474" t="s">
        <v>193</v>
      </c>
      <c r="D474" t="s">
        <v>75</v>
      </c>
      <c r="E474">
        <v>86</v>
      </c>
      <c r="F474">
        <v>77</v>
      </c>
      <c r="G474" s="1">
        <v>700</v>
      </c>
      <c r="H474" s="1">
        <v>0</v>
      </c>
      <c r="I474" s="1">
        <v>0</v>
      </c>
      <c r="J474" s="1">
        <v>0</v>
      </c>
    </row>
    <row r="475" spans="1:10" x14ac:dyDescent="0.3">
      <c r="A475" t="s">
        <v>11</v>
      </c>
      <c r="B475" t="s">
        <v>7</v>
      </c>
      <c r="C475" t="s">
        <v>193</v>
      </c>
      <c r="D475" t="s">
        <v>75</v>
      </c>
      <c r="E475">
        <v>86</v>
      </c>
      <c r="F475">
        <v>77</v>
      </c>
      <c r="G475" s="1">
        <v>700</v>
      </c>
      <c r="H475" s="1">
        <v>0</v>
      </c>
      <c r="I475" s="1">
        <v>0</v>
      </c>
      <c r="J475" s="1">
        <v>0</v>
      </c>
    </row>
    <row r="476" spans="1:10" x14ac:dyDescent="0.3">
      <c r="A476" t="s">
        <v>11</v>
      </c>
      <c r="B476" t="s">
        <v>6</v>
      </c>
      <c r="C476" t="s">
        <v>193</v>
      </c>
      <c r="D476" t="s">
        <v>75</v>
      </c>
      <c r="E476">
        <v>86</v>
      </c>
      <c r="F476">
        <v>77</v>
      </c>
      <c r="G476" s="1">
        <v>1850</v>
      </c>
      <c r="H476" s="1">
        <v>0</v>
      </c>
      <c r="I476" s="1">
        <v>0</v>
      </c>
      <c r="J476" s="1">
        <v>0</v>
      </c>
    </row>
    <row r="477" spans="1:10" x14ac:dyDescent="0.3">
      <c r="A477" t="s">
        <v>11</v>
      </c>
      <c r="B477" t="s">
        <v>5</v>
      </c>
      <c r="C477" t="s">
        <v>193</v>
      </c>
      <c r="D477" t="s">
        <v>75</v>
      </c>
      <c r="E477">
        <v>86</v>
      </c>
      <c r="F477">
        <v>77</v>
      </c>
      <c r="G477" s="1">
        <v>2250</v>
      </c>
      <c r="H477" s="1">
        <v>0</v>
      </c>
      <c r="I477" s="1">
        <v>0</v>
      </c>
      <c r="J477" s="1">
        <v>0</v>
      </c>
    </row>
    <row r="478" spans="1:10" x14ac:dyDescent="0.3">
      <c r="A478" t="s">
        <v>11</v>
      </c>
      <c r="B478" t="s">
        <v>4</v>
      </c>
      <c r="C478" t="s">
        <v>193</v>
      </c>
      <c r="D478" t="s">
        <v>75</v>
      </c>
      <c r="E478">
        <v>86</v>
      </c>
      <c r="F478">
        <v>77</v>
      </c>
      <c r="G478" s="1">
        <v>2250</v>
      </c>
      <c r="H478" s="1">
        <v>110</v>
      </c>
      <c r="I478" s="1">
        <v>110</v>
      </c>
      <c r="J478" s="1">
        <v>1000</v>
      </c>
    </row>
    <row r="479" spans="1:10" x14ac:dyDescent="0.3">
      <c r="A479" t="s">
        <v>11</v>
      </c>
      <c r="B479" t="s">
        <v>3</v>
      </c>
      <c r="C479" t="s">
        <v>193</v>
      </c>
      <c r="D479" t="s">
        <v>75</v>
      </c>
      <c r="E479">
        <v>86</v>
      </c>
      <c r="F479">
        <v>77</v>
      </c>
      <c r="G479" s="1">
        <v>2600</v>
      </c>
      <c r="H479" s="1">
        <v>250</v>
      </c>
      <c r="I479" s="1">
        <v>175</v>
      </c>
      <c r="J479" s="1">
        <v>700</v>
      </c>
    </row>
    <row r="480" spans="1:10" x14ac:dyDescent="0.3">
      <c r="A480" t="s">
        <v>11</v>
      </c>
      <c r="B480" t="s">
        <v>0</v>
      </c>
      <c r="C480" t="s">
        <v>193</v>
      </c>
      <c r="D480" t="s">
        <v>75</v>
      </c>
      <c r="E480">
        <v>86</v>
      </c>
      <c r="F480">
        <v>77</v>
      </c>
      <c r="G480" s="1">
        <v>4199</v>
      </c>
      <c r="H480" s="1">
        <v>2389</v>
      </c>
      <c r="I480" s="1">
        <v>4300</v>
      </c>
      <c r="J480" s="1">
        <v>1800</v>
      </c>
    </row>
    <row r="481" spans="1:10" x14ac:dyDescent="0.3">
      <c r="A481" t="s">
        <v>11</v>
      </c>
      <c r="B481" t="s">
        <v>7</v>
      </c>
      <c r="C481" t="s">
        <v>193</v>
      </c>
      <c r="D481" t="s">
        <v>70</v>
      </c>
      <c r="E481">
        <v>86</v>
      </c>
      <c r="F481">
        <v>91</v>
      </c>
      <c r="G481" s="1">
        <v>250</v>
      </c>
      <c r="H481" s="1">
        <v>250</v>
      </c>
      <c r="I481" s="1">
        <v>375</v>
      </c>
      <c r="J481" s="1">
        <v>1500</v>
      </c>
    </row>
    <row r="482" spans="1:10" x14ac:dyDescent="0.3">
      <c r="A482" t="s">
        <v>11</v>
      </c>
      <c r="B482" t="s">
        <v>6</v>
      </c>
      <c r="C482" t="s">
        <v>193</v>
      </c>
      <c r="D482" t="s">
        <v>70</v>
      </c>
      <c r="E482">
        <v>86</v>
      </c>
      <c r="F482">
        <v>91</v>
      </c>
      <c r="G482" s="1">
        <v>250</v>
      </c>
      <c r="H482" s="1">
        <v>250</v>
      </c>
      <c r="I482" s="1">
        <v>450</v>
      </c>
      <c r="J482" s="1">
        <v>1800</v>
      </c>
    </row>
    <row r="483" spans="1:10" x14ac:dyDescent="0.3">
      <c r="A483" t="s">
        <v>11</v>
      </c>
      <c r="B483" t="s">
        <v>5</v>
      </c>
      <c r="C483" t="s">
        <v>193</v>
      </c>
      <c r="D483" t="s">
        <v>70</v>
      </c>
      <c r="E483">
        <v>86</v>
      </c>
      <c r="F483">
        <v>91</v>
      </c>
      <c r="G483" s="1">
        <v>500</v>
      </c>
      <c r="H483" s="1">
        <v>500</v>
      </c>
      <c r="I483" s="1">
        <v>500</v>
      </c>
      <c r="J483" s="1">
        <v>1000</v>
      </c>
    </row>
    <row r="484" spans="1:10" x14ac:dyDescent="0.3">
      <c r="A484" t="s">
        <v>11</v>
      </c>
      <c r="B484" t="s">
        <v>4</v>
      </c>
      <c r="C484" t="s">
        <v>193</v>
      </c>
      <c r="D484" t="s">
        <v>70</v>
      </c>
      <c r="E484">
        <v>86</v>
      </c>
      <c r="F484">
        <v>91</v>
      </c>
      <c r="G484" s="1">
        <v>1000</v>
      </c>
      <c r="H484" s="1">
        <v>1000</v>
      </c>
      <c r="I484" s="1">
        <v>1800</v>
      </c>
      <c r="J484" s="1">
        <v>1800</v>
      </c>
    </row>
    <row r="485" spans="1:10" x14ac:dyDescent="0.3">
      <c r="A485" t="s">
        <v>11</v>
      </c>
      <c r="B485" t="s">
        <v>3</v>
      </c>
      <c r="C485" t="s">
        <v>193</v>
      </c>
      <c r="D485" t="s">
        <v>70</v>
      </c>
      <c r="E485">
        <v>86</v>
      </c>
      <c r="F485">
        <v>91</v>
      </c>
      <c r="G485" s="1">
        <v>1000</v>
      </c>
      <c r="H485" s="1">
        <v>950</v>
      </c>
      <c r="I485" s="1">
        <v>855</v>
      </c>
      <c r="J485" s="1">
        <v>900</v>
      </c>
    </row>
    <row r="486" spans="1:10" x14ac:dyDescent="0.3">
      <c r="A486" t="s">
        <v>11</v>
      </c>
      <c r="B486" t="s">
        <v>0</v>
      </c>
      <c r="C486" t="s">
        <v>193</v>
      </c>
      <c r="D486" t="s">
        <v>70</v>
      </c>
      <c r="E486">
        <v>86</v>
      </c>
      <c r="F486">
        <v>91</v>
      </c>
      <c r="G486" s="1">
        <v>1300</v>
      </c>
      <c r="H486" s="1">
        <v>350</v>
      </c>
      <c r="I486" s="1">
        <v>315</v>
      </c>
      <c r="J486" s="1">
        <v>900</v>
      </c>
    </row>
    <row r="487" spans="1:10" x14ac:dyDescent="0.3">
      <c r="A487" t="s">
        <v>11</v>
      </c>
      <c r="B487" t="s">
        <v>7</v>
      </c>
      <c r="C487" t="s">
        <v>193</v>
      </c>
      <c r="D487" t="s">
        <v>69</v>
      </c>
      <c r="E487">
        <v>86</v>
      </c>
      <c r="F487">
        <v>98</v>
      </c>
      <c r="G487" s="1">
        <v>900</v>
      </c>
      <c r="H487" s="1">
        <v>0</v>
      </c>
      <c r="I487" s="1">
        <v>0</v>
      </c>
      <c r="J487" s="1">
        <v>0</v>
      </c>
    </row>
    <row r="488" spans="1:10" x14ac:dyDescent="0.3">
      <c r="A488" t="s">
        <v>11</v>
      </c>
      <c r="B488" t="s">
        <v>6</v>
      </c>
      <c r="C488" t="s">
        <v>193</v>
      </c>
      <c r="D488" t="s">
        <v>69</v>
      </c>
      <c r="E488">
        <v>86</v>
      </c>
      <c r="F488">
        <v>98</v>
      </c>
      <c r="G488" s="1">
        <v>3260</v>
      </c>
      <c r="H488" s="1">
        <v>0</v>
      </c>
      <c r="I488" s="1">
        <v>0</v>
      </c>
      <c r="J488" s="1">
        <v>0</v>
      </c>
    </row>
    <row r="489" spans="1:10" x14ac:dyDescent="0.3">
      <c r="A489" t="s">
        <v>11</v>
      </c>
      <c r="B489" t="s">
        <v>5</v>
      </c>
      <c r="C489" t="s">
        <v>193</v>
      </c>
      <c r="D489" t="s">
        <v>69</v>
      </c>
      <c r="E489">
        <v>86</v>
      </c>
      <c r="F489">
        <v>98</v>
      </c>
      <c r="G489" s="1">
        <v>2980</v>
      </c>
      <c r="H489" s="1">
        <v>0</v>
      </c>
      <c r="I489" s="1">
        <v>0</v>
      </c>
      <c r="J489" s="1">
        <v>0</v>
      </c>
    </row>
    <row r="490" spans="1:10" x14ac:dyDescent="0.3">
      <c r="A490" t="s">
        <v>11</v>
      </c>
      <c r="B490" t="s">
        <v>4</v>
      </c>
      <c r="C490" t="s">
        <v>193</v>
      </c>
      <c r="D490" t="s">
        <v>69</v>
      </c>
      <c r="E490">
        <v>86</v>
      </c>
      <c r="F490">
        <v>98</v>
      </c>
      <c r="G490" s="1">
        <v>2980</v>
      </c>
      <c r="H490" s="1">
        <v>130</v>
      </c>
      <c r="I490" s="1">
        <v>130</v>
      </c>
      <c r="J490" s="1">
        <v>1000</v>
      </c>
    </row>
    <row r="491" spans="1:10" x14ac:dyDescent="0.3">
      <c r="A491" t="s">
        <v>11</v>
      </c>
      <c r="B491" t="s">
        <v>3</v>
      </c>
      <c r="C491" t="s">
        <v>193</v>
      </c>
      <c r="D491" t="s">
        <v>69</v>
      </c>
      <c r="E491">
        <v>86</v>
      </c>
      <c r="F491">
        <v>98</v>
      </c>
      <c r="G491" s="1">
        <v>3500</v>
      </c>
      <c r="H491" s="1">
        <v>340</v>
      </c>
      <c r="I491" s="1">
        <v>204</v>
      </c>
      <c r="J491" s="1">
        <v>600</v>
      </c>
    </row>
    <row r="492" spans="1:10" x14ac:dyDescent="0.3">
      <c r="A492" t="s">
        <v>11</v>
      </c>
      <c r="B492" t="s">
        <v>0</v>
      </c>
      <c r="C492" t="s">
        <v>193</v>
      </c>
      <c r="D492" t="s">
        <v>69</v>
      </c>
      <c r="E492">
        <v>86</v>
      </c>
      <c r="F492">
        <v>98</v>
      </c>
      <c r="G492" s="1">
        <v>4330</v>
      </c>
      <c r="H492" s="1">
        <v>1880</v>
      </c>
      <c r="I492" s="1">
        <v>3384</v>
      </c>
      <c r="J492" s="1">
        <v>1800</v>
      </c>
    </row>
    <row r="493" spans="1:10" x14ac:dyDescent="0.3">
      <c r="A493" t="s">
        <v>11</v>
      </c>
      <c r="B493" t="s">
        <v>12</v>
      </c>
      <c r="C493" t="s">
        <v>193</v>
      </c>
      <c r="D493" t="s">
        <v>72</v>
      </c>
      <c r="E493">
        <v>86</v>
      </c>
      <c r="F493">
        <v>119</v>
      </c>
      <c r="G493" s="1">
        <v>280</v>
      </c>
      <c r="H493" s="1">
        <v>0</v>
      </c>
      <c r="I493" s="1">
        <v>0</v>
      </c>
      <c r="J493" s="1">
        <v>0</v>
      </c>
    </row>
    <row r="494" spans="1:10" x14ac:dyDescent="0.3">
      <c r="A494" t="s">
        <v>11</v>
      </c>
      <c r="B494" t="s">
        <v>9</v>
      </c>
      <c r="C494" t="s">
        <v>193</v>
      </c>
      <c r="D494" t="s">
        <v>72</v>
      </c>
      <c r="E494">
        <v>86</v>
      </c>
      <c r="F494">
        <v>119</v>
      </c>
      <c r="G494" s="1">
        <v>650</v>
      </c>
      <c r="H494" s="1">
        <v>0</v>
      </c>
      <c r="I494" s="1">
        <v>0</v>
      </c>
      <c r="J494" s="1">
        <v>0</v>
      </c>
    </row>
    <row r="495" spans="1:10" x14ac:dyDescent="0.3">
      <c r="A495" t="s">
        <v>11</v>
      </c>
      <c r="B495" t="s">
        <v>8</v>
      </c>
      <c r="C495" t="s">
        <v>193</v>
      </c>
      <c r="D495" t="s">
        <v>72</v>
      </c>
      <c r="E495">
        <v>86</v>
      </c>
      <c r="F495">
        <v>119</v>
      </c>
      <c r="G495" s="1">
        <v>8200</v>
      </c>
      <c r="H495" s="1">
        <v>0</v>
      </c>
      <c r="I495" s="1">
        <v>0</v>
      </c>
      <c r="J495" s="1">
        <v>0</v>
      </c>
    </row>
    <row r="496" spans="1:10" x14ac:dyDescent="0.3">
      <c r="A496" t="s">
        <v>11</v>
      </c>
      <c r="B496" t="s">
        <v>7</v>
      </c>
      <c r="C496" t="s">
        <v>193</v>
      </c>
      <c r="D496" t="s">
        <v>72</v>
      </c>
      <c r="E496">
        <v>86</v>
      </c>
      <c r="F496">
        <v>119</v>
      </c>
      <c r="G496" s="1">
        <v>9300</v>
      </c>
      <c r="H496" s="1">
        <v>0</v>
      </c>
      <c r="I496" s="1">
        <v>0</v>
      </c>
      <c r="J496" s="1">
        <v>0</v>
      </c>
    </row>
    <row r="497" spans="1:10" x14ac:dyDescent="0.3">
      <c r="A497" t="s">
        <v>11</v>
      </c>
      <c r="B497" t="s">
        <v>6</v>
      </c>
      <c r="C497" t="s">
        <v>193</v>
      </c>
      <c r="D497" t="s">
        <v>72</v>
      </c>
      <c r="E497">
        <v>86</v>
      </c>
      <c r="F497">
        <v>119</v>
      </c>
      <c r="G497" s="1">
        <v>15150</v>
      </c>
      <c r="H497" s="1">
        <v>0</v>
      </c>
      <c r="I497" s="1">
        <v>0</v>
      </c>
      <c r="J497" s="1">
        <v>0</v>
      </c>
    </row>
    <row r="498" spans="1:10" x14ac:dyDescent="0.3">
      <c r="A498" t="s">
        <v>11</v>
      </c>
      <c r="B498" t="s">
        <v>5</v>
      </c>
      <c r="C498" t="s">
        <v>193</v>
      </c>
      <c r="D498" t="s">
        <v>72</v>
      </c>
      <c r="E498">
        <v>86</v>
      </c>
      <c r="F498">
        <v>119</v>
      </c>
      <c r="G498" s="1">
        <v>11870</v>
      </c>
      <c r="H498" s="1">
        <v>0</v>
      </c>
      <c r="I498" s="1">
        <v>0</v>
      </c>
      <c r="J498" s="1">
        <v>0</v>
      </c>
    </row>
    <row r="499" spans="1:10" x14ac:dyDescent="0.3">
      <c r="A499" t="s">
        <v>11</v>
      </c>
      <c r="B499" t="s">
        <v>4</v>
      </c>
      <c r="C499" t="s">
        <v>193</v>
      </c>
      <c r="D499" t="s">
        <v>72</v>
      </c>
      <c r="E499">
        <v>86</v>
      </c>
      <c r="F499">
        <v>119</v>
      </c>
      <c r="G499" s="1">
        <v>11870</v>
      </c>
      <c r="H499" s="1">
        <v>710</v>
      </c>
      <c r="I499" s="1">
        <v>710</v>
      </c>
      <c r="J499" s="1">
        <v>1000</v>
      </c>
    </row>
    <row r="500" spans="1:10" x14ac:dyDescent="0.3">
      <c r="A500" t="s">
        <v>11</v>
      </c>
      <c r="B500" t="s">
        <v>3</v>
      </c>
      <c r="C500" t="s">
        <v>193</v>
      </c>
      <c r="D500" t="s">
        <v>72</v>
      </c>
      <c r="E500">
        <v>86</v>
      </c>
      <c r="F500">
        <v>119</v>
      </c>
      <c r="G500" s="1">
        <v>13860</v>
      </c>
      <c r="H500" s="1">
        <v>650</v>
      </c>
      <c r="I500" s="1">
        <v>455</v>
      </c>
      <c r="J500" s="1">
        <v>700</v>
      </c>
    </row>
    <row r="501" spans="1:10" x14ac:dyDescent="0.3">
      <c r="A501" t="s">
        <v>11</v>
      </c>
      <c r="B501" t="s">
        <v>0</v>
      </c>
      <c r="C501" t="s">
        <v>193</v>
      </c>
      <c r="D501" t="s">
        <v>72</v>
      </c>
      <c r="E501">
        <v>86</v>
      </c>
      <c r="F501">
        <v>119</v>
      </c>
      <c r="G501" s="1">
        <v>13820</v>
      </c>
      <c r="H501" s="1">
        <v>4850</v>
      </c>
      <c r="I501" s="1">
        <v>7760</v>
      </c>
      <c r="J501" s="1">
        <v>1600</v>
      </c>
    </row>
    <row r="502" spans="1:10" x14ac:dyDescent="0.3">
      <c r="A502" t="s">
        <v>11</v>
      </c>
      <c r="B502" t="s">
        <v>7</v>
      </c>
      <c r="C502" t="s">
        <v>193</v>
      </c>
      <c r="D502" t="s">
        <v>68</v>
      </c>
      <c r="E502">
        <v>86</v>
      </c>
      <c r="F502">
        <v>133</v>
      </c>
      <c r="G502" s="1">
        <v>1500</v>
      </c>
      <c r="H502" s="1">
        <v>1500</v>
      </c>
      <c r="I502" s="1">
        <v>2250</v>
      </c>
      <c r="J502" s="1">
        <v>1500</v>
      </c>
    </row>
    <row r="503" spans="1:10" x14ac:dyDescent="0.3">
      <c r="A503" t="s">
        <v>11</v>
      </c>
      <c r="B503" t="s">
        <v>6</v>
      </c>
      <c r="C503" t="s">
        <v>193</v>
      </c>
      <c r="D503" t="s">
        <v>68</v>
      </c>
      <c r="E503">
        <v>86</v>
      </c>
      <c r="F503">
        <v>133</v>
      </c>
      <c r="G503" s="1">
        <v>1500</v>
      </c>
      <c r="H503" s="1">
        <v>1500</v>
      </c>
      <c r="I503" s="1">
        <v>2700</v>
      </c>
      <c r="J503" s="1">
        <v>1800</v>
      </c>
    </row>
    <row r="504" spans="1:10" x14ac:dyDescent="0.3">
      <c r="A504" t="s">
        <v>11</v>
      </c>
      <c r="B504" t="s">
        <v>5</v>
      </c>
      <c r="C504" t="s">
        <v>193</v>
      </c>
      <c r="D504" t="s">
        <v>68</v>
      </c>
      <c r="E504">
        <v>86</v>
      </c>
      <c r="F504">
        <v>133</v>
      </c>
      <c r="G504" s="1">
        <v>1500</v>
      </c>
      <c r="H504" s="1">
        <v>1500</v>
      </c>
      <c r="I504" s="1">
        <v>1800</v>
      </c>
      <c r="J504" s="1">
        <v>1200</v>
      </c>
    </row>
    <row r="505" spans="1:10" x14ac:dyDescent="0.3">
      <c r="A505" t="s">
        <v>11</v>
      </c>
      <c r="B505" t="s">
        <v>4</v>
      </c>
      <c r="C505" t="s">
        <v>193</v>
      </c>
      <c r="D505" t="s">
        <v>68</v>
      </c>
      <c r="E505">
        <v>86</v>
      </c>
      <c r="F505">
        <v>133</v>
      </c>
      <c r="G505" s="1">
        <v>1500</v>
      </c>
      <c r="H505" s="1">
        <v>1500</v>
      </c>
      <c r="I505" s="1">
        <v>2700</v>
      </c>
      <c r="J505" s="1">
        <v>1800</v>
      </c>
    </row>
    <row r="506" spans="1:10" x14ac:dyDescent="0.3">
      <c r="A506" t="s">
        <v>11</v>
      </c>
      <c r="B506" t="s">
        <v>3</v>
      </c>
      <c r="C506" t="s">
        <v>193</v>
      </c>
      <c r="D506" t="s">
        <v>68</v>
      </c>
      <c r="E506">
        <v>86</v>
      </c>
      <c r="F506">
        <v>133</v>
      </c>
      <c r="G506" s="1">
        <v>1500</v>
      </c>
      <c r="H506" s="1">
        <v>1455</v>
      </c>
      <c r="I506" s="1">
        <v>1164</v>
      </c>
      <c r="J506" s="1">
        <v>800</v>
      </c>
    </row>
    <row r="507" spans="1:10" x14ac:dyDescent="0.3">
      <c r="A507" t="s">
        <v>11</v>
      </c>
      <c r="B507" t="s">
        <v>0</v>
      </c>
      <c r="C507" t="s">
        <v>193</v>
      </c>
      <c r="D507" t="s">
        <v>68</v>
      </c>
      <c r="E507">
        <v>86</v>
      </c>
      <c r="F507">
        <v>133</v>
      </c>
      <c r="G507" s="1">
        <v>1500</v>
      </c>
      <c r="H507" s="1">
        <v>1300</v>
      </c>
      <c r="I507" s="1">
        <v>1300</v>
      </c>
      <c r="J507" s="1">
        <v>1000</v>
      </c>
    </row>
    <row r="508" spans="1:10" x14ac:dyDescent="0.3">
      <c r="A508" t="s">
        <v>11</v>
      </c>
      <c r="B508" t="s">
        <v>7</v>
      </c>
      <c r="C508" t="s">
        <v>193</v>
      </c>
      <c r="D508" t="s">
        <v>65</v>
      </c>
      <c r="E508">
        <v>86</v>
      </c>
      <c r="F508">
        <v>147</v>
      </c>
      <c r="G508" s="1">
        <v>200</v>
      </c>
      <c r="H508" s="1">
        <v>200</v>
      </c>
      <c r="I508" s="1">
        <v>300</v>
      </c>
      <c r="J508" s="1">
        <v>1500</v>
      </c>
    </row>
    <row r="509" spans="1:10" x14ac:dyDescent="0.3">
      <c r="A509" t="s">
        <v>11</v>
      </c>
      <c r="B509" t="s">
        <v>6</v>
      </c>
      <c r="C509" t="s">
        <v>193</v>
      </c>
      <c r="D509" t="s">
        <v>65</v>
      </c>
      <c r="E509">
        <v>86</v>
      </c>
      <c r="F509">
        <v>147</v>
      </c>
      <c r="G509" s="1">
        <v>200</v>
      </c>
      <c r="H509" s="1">
        <v>200</v>
      </c>
      <c r="I509" s="1">
        <v>360</v>
      </c>
      <c r="J509" s="1">
        <v>1800</v>
      </c>
    </row>
    <row r="510" spans="1:10" x14ac:dyDescent="0.3">
      <c r="A510" t="s">
        <v>11</v>
      </c>
      <c r="B510" t="s">
        <v>5</v>
      </c>
      <c r="C510" t="s">
        <v>193</v>
      </c>
      <c r="D510" t="s">
        <v>65</v>
      </c>
      <c r="E510">
        <v>86</v>
      </c>
      <c r="F510">
        <v>147</v>
      </c>
      <c r="G510" s="1">
        <v>200</v>
      </c>
      <c r="H510" s="1">
        <v>200</v>
      </c>
      <c r="I510" s="1">
        <v>240</v>
      </c>
      <c r="J510" s="1">
        <v>1200</v>
      </c>
    </row>
    <row r="511" spans="1:10" x14ac:dyDescent="0.3">
      <c r="A511" t="s">
        <v>11</v>
      </c>
      <c r="B511" t="s">
        <v>4</v>
      </c>
      <c r="C511" t="s">
        <v>193</v>
      </c>
      <c r="D511" t="s">
        <v>65</v>
      </c>
      <c r="E511">
        <v>86</v>
      </c>
      <c r="F511">
        <v>147</v>
      </c>
      <c r="G511" s="1">
        <v>200</v>
      </c>
      <c r="H511" s="1">
        <v>200</v>
      </c>
      <c r="I511" s="1">
        <v>400</v>
      </c>
      <c r="J511" s="1">
        <v>2000</v>
      </c>
    </row>
    <row r="512" spans="1:10" x14ac:dyDescent="0.3">
      <c r="A512" t="s">
        <v>11</v>
      </c>
      <c r="B512" t="s">
        <v>3</v>
      </c>
      <c r="C512" t="s">
        <v>193</v>
      </c>
      <c r="D512" t="s">
        <v>65</v>
      </c>
      <c r="E512">
        <v>86</v>
      </c>
      <c r="F512">
        <v>147</v>
      </c>
      <c r="G512" s="1">
        <v>200</v>
      </c>
      <c r="H512" s="1">
        <v>180</v>
      </c>
      <c r="I512" s="1">
        <v>162</v>
      </c>
      <c r="J512" s="1">
        <v>900</v>
      </c>
    </row>
    <row r="513" spans="1:10" x14ac:dyDescent="0.3">
      <c r="A513" t="s">
        <v>11</v>
      </c>
      <c r="B513" t="s">
        <v>0</v>
      </c>
      <c r="C513" t="s">
        <v>193</v>
      </c>
      <c r="D513" t="s">
        <v>65</v>
      </c>
      <c r="E513">
        <v>86</v>
      </c>
      <c r="F513">
        <v>147</v>
      </c>
      <c r="G513" s="1">
        <v>200</v>
      </c>
      <c r="H513" s="1">
        <v>60</v>
      </c>
      <c r="I513" s="1">
        <v>54</v>
      </c>
      <c r="J513" s="1">
        <v>900</v>
      </c>
    </row>
    <row r="514" spans="1:10" x14ac:dyDescent="0.3">
      <c r="A514" t="s">
        <v>11</v>
      </c>
      <c r="B514" t="s">
        <v>9</v>
      </c>
      <c r="C514" t="s">
        <v>193</v>
      </c>
      <c r="D514" t="s">
        <v>58</v>
      </c>
      <c r="E514">
        <v>86</v>
      </c>
      <c r="F514">
        <v>154</v>
      </c>
      <c r="G514" s="1">
        <v>300</v>
      </c>
      <c r="H514" s="1">
        <v>0</v>
      </c>
      <c r="I514" s="1">
        <v>0</v>
      </c>
      <c r="J514" s="1">
        <v>0</v>
      </c>
    </row>
    <row r="515" spans="1:10" x14ac:dyDescent="0.3">
      <c r="A515" t="s">
        <v>11</v>
      </c>
      <c r="B515" t="s">
        <v>7</v>
      </c>
      <c r="C515" t="s">
        <v>193</v>
      </c>
      <c r="D515" t="s">
        <v>58</v>
      </c>
      <c r="E515">
        <v>86</v>
      </c>
      <c r="F515">
        <v>154</v>
      </c>
      <c r="G515" s="1">
        <v>400</v>
      </c>
      <c r="H515" s="1">
        <v>0</v>
      </c>
      <c r="I515" s="1">
        <v>0</v>
      </c>
      <c r="J515" s="1">
        <v>0</v>
      </c>
    </row>
    <row r="516" spans="1:10" x14ac:dyDescent="0.3">
      <c r="A516" t="s">
        <v>11</v>
      </c>
      <c r="B516" t="s">
        <v>6</v>
      </c>
      <c r="C516" t="s">
        <v>193</v>
      </c>
      <c r="D516" t="s">
        <v>58</v>
      </c>
      <c r="E516">
        <v>86</v>
      </c>
      <c r="F516">
        <v>154</v>
      </c>
      <c r="G516" s="1">
        <v>1050</v>
      </c>
      <c r="H516" s="1">
        <v>0</v>
      </c>
      <c r="I516" s="1">
        <v>0</v>
      </c>
      <c r="J516" s="1">
        <v>0</v>
      </c>
    </row>
    <row r="517" spans="1:10" x14ac:dyDescent="0.3">
      <c r="A517" t="s">
        <v>11</v>
      </c>
      <c r="B517" t="s">
        <v>5</v>
      </c>
      <c r="C517" t="s">
        <v>193</v>
      </c>
      <c r="D517" t="s">
        <v>58</v>
      </c>
      <c r="E517">
        <v>86</v>
      </c>
      <c r="F517">
        <v>154</v>
      </c>
      <c r="G517" s="1">
        <v>550</v>
      </c>
      <c r="H517" s="1">
        <v>0</v>
      </c>
      <c r="I517" s="1">
        <v>0</v>
      </c>
      <c r="J517" s="1">
        <v>0</v>
      </c>
    </row>
    <row r="518" spans="1:10" x14ac:dyDescent="0.3">
      <c r="A518" t="s">
        <v>11</v>
      </c>
      <c r="B518" t="s">
        <v>4</v>
      </c>
      <c r="C518" t="s">
        <v>193</v>
      </c>
      <c r="D518" t="s">
        <v>58</v>
      </c>
      <c r="E518">
        <v>86</v>
      </c>
      <c r="F518">
        <v>154</v>
      </c>
      <c r="G518" s="1">
        <v>550</v>
      </c>
      <c r="H518" s="1">
        <v>0</v>
      </c>
      <c r="I518" s="1">
        <v>0</v>
      </c>
      <c r="J518" s="1">
        <v>0</v>
      </c>
    </row>
    <row r="519" spans="1:10" x14ac:dyDescent="0.3">
      <c r="A519" t="s">
        <v>11</v>
      </c>
      <c r="B519" t="s">
        <v>3</v>
      </c>
      <c r="C519" t="s">
        <v>193</v>
      </c>
      <c r="D519" t="s">
        <v>58</v>
      </c>
      <c r="E519">
        <v>86</v>
      </c>
      <c r="F519">
        <v>154</v>
      </c>
      <c r="G519" s="1">
        <v>670</v>
      </c>
      <c r="H519" s="1">
        <v>180</v>
      </c>
      <c r="I519" s="1">
        <v>126</v>
      </c>
      <c r="J519" s="1">
        <v>700</v>
      </c>
    </row>
    <row r="520" spans="1:10" x14ac:dyDescent="0.3">
      <c r="A520" t="s">
        <v>11</v>
      </c>
      <c r="B520" t="s">
        <v>0</v>
      </c>
      <c r="C520" t="s">
        <v>193</v>
      </c>
      <c r="D520" t="s">
        <v>58</v>
      </c>
      <c r="E520">
        <v>86</v>
      </c>
      <c r="F520">
        <v>154</v>
      </c>
      <c r="G520" s="1">
        <v>920</v>
      </c>
      <c r="H520" s="1">
        <v>485</v>
      </c>
      <c r="I520" s="1">
        <v>776</v>
      </c>
      <c r="J520" s="1">
        <v>1600</v>
      </c>
    </row>
    <row r="521" spans="1:10" x14ac:dyDescent="0.3">
      <c r="A521" t="s">
        <v>11</v>
      </c>
      <c r="B521" t="s">
        <v>7</v>
      </c>
      <c r="C521" t="s">
        <v>193</v>
      </c>
      <c r="D521" t="s">
        <v>33</v>
      </c>
      <c r="E521">
        <v>86</v>
      </c>
      <c r="F521">
        <v>189</v>
      </c>
      <c r="G521" s="1">
        <v>20</v>
      </c>
      <c r="H521" s="1">
        <v>0</v>
      </c>
      <c r="I521" s="1">
        <v>0</v>
      </c>
      <c r="J521" s="1">
        <v>0</v>
      </c>
    </row>
    <row r="522" spans="1:10" x14ac:dyDescent="0.3">
      <c r="A522" t="s">
        <v>11</v>
      </c>
      <c r="B522" t="s">
        <v>6</v>
      </c>
      <c r="C522" t="s">
        <v>193</v>
      </c>
      <c r="D522" t="s">
        <v>33</v>
      </c>
      <c r="E522">
        <v>86</v>
      </c>
      <c r="F522">
        <v>189</v>
      </c>
      <c r="G522" s="1">
        <v>100</v>
      </c>
      <c r="H522" s="1">
        <v>100</v>
      </c>
      <c r="I522" s="1">
        <v>180</v>
      </c>
      <c r="J522" s="1">
        <v>1800</v>
      </c>
    </row>
    <row r="523" spans="1:10" x14ac:dyDescent="0.3">
      <c r="A523" t="s">
        <v>10</v>
      </c>
      <c r="B523" t="s">
        <v>4</v>
      </c>
      <c r="C523" t="s">
        <v>193</v>
      </c>
      <c r="D523" t="s">
        <v>70</v>
      </c>
      <c r="E523">
        <v>86</v>
      </c>
      <c r="F523">
        <v>91</v>
      </c>
      <c r="G523" s="1">
        <v>1000</v>
      </c>
      <c r="H523" s="1">
        <v>500</v>
      </c>
      <c r="I523" s="1">
        <v>550</v>
      </c>
      <c r="J523" s="1">
        <v>1100</v>
      </c>
    </row>
    <row r="524" spans="1:10" x14ac:dyDescent="0.3">
      <c r="A524" t="s">
        <v>10</v>
      </c>
      <c r="B524" t="s">
        <v>3</v>
      </c>
      <c r="C524" t="s">
        <v>193</v>
      </c>
      <c r="D524" t="s">
        <v>70</v>
      </c>
      <c r="E524">
        <v>86</v>
      </c>
      <c r="F524">
        <v>91</v>
      </c>
      <c r="G524" s="1">
        <v>1000</v>
      </c>
      <c r="H524" s="1">
        <v>975</v>
      </c>
      <c r="I524" s="1">
        <v>780</v>
      </c>
      <c r="J524" s="1">
        <v>800</v>
      </c>
    </row>
    <row r="525" spans="1:10" x14ac:dyDescent="0.3">
      <c r="A525" t="s">
        <v>10</v>
      </c>
      <c r="B525" t="s">
        <v>0</v>
      </c>
      <c r="C525" t="s">
        <v>193</v>
      </c>
      <c r="D525" t="s">
        <v>70</v>
      </c>
      <c r="E525">
        <v>86</v>
      </c>
      <c r="F525">
        <v>91</v>
      </c>
      <c r="G525" s="1">
        <v>1000</v>
      </c>
      <c r="H525" s="1">
        <v>910</v>
      </c>
      <c r="I525" s="1">
        <v>910</v>
      </c>
      <c r="J525" s="1">
        <v>1000</v>
      </c>
    </row>
    <row r="526" spans="1:10" x14ac:dyDescent="0.3">
      <c r="A526" t="s">
        <v>10</v>
      </c>
      <c r="B526" t="s">
        <v>4</v>
      </c>
      <c r="C526" t="s">
        <v>193</v>
      </c>
      <c r="D526" t="s">
        <v>68</v>
      </c>
      <c r="E526">
        <v>86</v>
      </c>
      <c r="F526">
        <v>133</v>
      </c>
      <c r="G526" s="1">
        <v>500</v>
      </c>
      <c r="H526" s="1">
        <v>500</v>
      </c>
      <c r="I526" s="1">
        <v>500</v>
      </c>
      <c r="J526" s="1">
        <v>1000</v>
      </c>
    </row>
    <row r="527" spans="1:10" x14ac:dyDescent="0.3">
      <c r="A527" t="s">
        <v>10</v>
      </c>
      <c r="B527" t="s">
        <v>3</v>
      </c>
      <c r="C527" t="s">
        <v>193</v>
      </c>
      <c r="D527" t="s">
        <v>68</v>
      </c>
      <c r="E527">
        <v>86</v>
      </c>
      <c r="F527">
        <v>133</v>
      </c>
      <c r="G527" s="1">
        <v>500</v>
      </c>
      <c r="H527" s="1">
        <v>465</v>
      </c>
      <c r="I527" s="1">
        <v>419</v>
      </c>
      <c r="J527" s="1">
        <v>900</v>
      </c>
    </row>
    <row r="528" spans="1:10" x14ac:dyDescent="0.3">
      <c r="A528" t="s">
        <v>10</v>
      </c>
      <c r="B528" t="s">
        <v>0</v>
      </c>
      <c r="C528" t="s">
        <v>193</v>
      </c>
      <c r="D528" t="s">
        <v>68</v>
      </c>
      <c r="E528">
        <v>86</v>
      </c>
      <c r="F528">
        <v>133</v>
      </c>
      <c r="G528" s="1">
        <v>500</v>
      </c>
      <c r="H528" s="1">
        <v>460</v>
      </c>
      <c r="I528" s="1">
        <v>414</v>
      </c>
      <c r="J528" s="1">
        <v>900</v>
      </c>
    </row>
    <row r="529" spans="1:10" x14ac:dyDescent="0.3">
      <c r="A529" t="s">
        <v>1</v>
      </c>
      <c r="B529" t="s">
        <v>8</v>
      </c>
      <c r="C529" t="s">
        <v>193</v>
      </c>
      <c r="D529" t="s">
        <v>62</v>
      </c>
      <c r="E529">
        <v>86</v>
      </c>
      <c r="F529">
        <v>14</v>
      </c>
      <c r="G529" s="1">
        <v>4200</v>
      </c>
      <c r="H529" s="1">
        <v>4200</v>
      </c>
      <c r="I529" s="1">
        <v>7560</v>
      </c>
      <c r="J529" s="1">
        <v>1800</v>
      </c>
    </row>
    <row r="530" spans="1:10" x14ac:dyDescent="0.3">
      <c r="A530" t="s">
        <v>1</v>
      </c>
      <c r="B530" t="s">
        <v>4</v>
      </c>
      <c r="C530" t="s">
        <v>193</v>
      </c>
      <c r="D530" t="s">
        <v>62</v>
      </c>
      <c r="E530">
        <v>86</v>
      </c>
      <c r="F530">
        <v>14</v>
      </c>
      <c r="G530" s="1">
        <v>1450</v>
      </c>
      <c r="H530" s="1">
        <v>1450</v>
      </c>
      <c r="I530" s="1">
        <v>2320</v>
      </c>
      <c r="J530" s="1">
        <v>1600</v>
      </c>
    </row>
    <row r="531" spans="1:10" x14ac:dyDescent="0.3">
      <c r="A531" t="s">
        <v>1</v>
      </c>
      <c r="B531" t="s">
        <v>3</v>
      </c>
      <c r="C531" t="s">
        <v>193</v>
      </c>
      <c r="D531" t="s">
        <v>62</v>
      </c>
      <c r="E531">
        <v>86</v>
      </c>
      <c r="F531">
        <v>14</v>
      </c>
      <c r="G531" s="1">
        <v>2400</v>
      </c>
      <c r="H531" s="1">
        <v>1910</v>
      </c>
      <c r="I531" s="1">
        <v>1719</v>
      </c>
      <c r="J531" s="1">
        <v>900</v>
      </c>
    </row>
    <row r="532" spans="1:10" x14ac:dyDescent="0.3">
      <c r="A532" t="s">
        <v>1</v>
      </c>
      <c r="B532" t="s">
        <v>0</v>
      </c>
      <c r="C532" t="s">
        <v>193</v>
      </c>
      <c r="D532" t="s">
        <v>62</v>
      </c>
      <c r="E532">
        <v>86</v>
      </c>
      <c r="F532">
        <v>14</v>
      </c>
      <c r="G532" s="1">
        <v>4000</v>
      </c>
      <c r="H532" s="1">
        <v>4000</v>
      </c>
      <c r="I532" s="1">
        <v>7600</v>
      </c>
      <c r="J532" s="1">
        <v>1900</v>
      </c>
    </row>
    <row r="533" spans="1:10" x14ac:dyDescent="0.3">
      <c r="A533" t="s">
        <v>1</v>
      </c>
      <c r="B533" t="s">
        <v>7</v>
      </c>
      <c r="C533" t="s">
        <v>193</v>
      </c>
      <c r="D533" t="s">
        <v>44</v>
      </c>
      <c r="E533">
        <v>86</v>
      </c>
      <c r="F533">
        <v>35</v>
      </c>
      <c r="G533" s="1">
        <v>150</v>
      </c>
      <c r="H533" s="1">
        <v>150</v>
      </c>
      <c r="I533" s="1">
        <v>225</v>
      </c>
      <c r="J533" s="1">
        <v>1500</v>
      </c>
    </row>
    <row r="534" spans="1:10" x14ac:dyDescent="0.3">
      <c r="A534" t="s">
        <v>1</v>
      </c>
      <c r="B534" t="s">
        <v>4</v>
      </c>
      <c r="C534" t="s">
        <v>193</v>
      </c>
      <c r="D534" t="s">
        <v>74</v>
      </c>
      <c r="E534">
        <v>86</v>
      </c>
      <c r="F534">
        <v>42</v>
      </c>
      <c r="G534" s="1">
        <v>750</v>
      </c>
      <c r="H534" s="1">
        <v>750</v>
      </c>
      <c r="I534" s="1">
        <v>1200</v>
      </c>
      <c r="J534" s="1">
        <v>1600</v>
      </c>
    </row>
    <row r="535" spans="1:10" x14ac:dyDescent="0.3">
      <c r="A535" t="s">
        <v>1</v>
      </c>
      <c r="B535" t="s">
        <v>3</v>
      </c>
      <c r="C535" t="s">
        <v>193</v>
      </c>
      <c r="D535" t="s">
        <v>74</v>
      </c>
      <c r="E535">
        <v>86</v>
      </c>
      <c r="F535">
        <v>42</v>
      </c>
      <c r="G535" s="1">
        <v>1120</v>
      </c>
      <c r="H535" s="1">
        <v>940</v>
      </c>
      <c r="I535" s="1">
        <v>846</v>
      </c>
      <c r="J535" s="1">
        <v>900</v>
      </c>
    </row>
    <row r="536" spans="1:10" x14ac:dyDescent="0.3">
      <c r="A536" t="s">
        <v>1</v>
      </c>
      <c r="B536" t="s">
        <v>0</v>
      </c>
      <c r="C536" t="s">
        <v>193</v>
      </c>
      <c r="D536" t="s">
        <v>74</v>
      </c>
      <c r="E536">
        <v>86</v>
      </c>
      <c r="F536">
        <v>42</v>
      </c>
      <c r="G536" s="1">
        <v>250</v>
      </c>
      <c r="H536" s="1">
        <v>250</v>
      </c>
      <c r="I536" s="1">
        <v>425</v>
      </c>
      <c r="J536" s="1">
        <v>1700</v>
      </c>
    </row>
    <row r="537" spans="1:10" x14ac:dyDescent="0.3">
      <c r="A537" t="s">
        <v>1</v>
      </c>
      <c r="B537" t="s">
        <v>7</v>
      </c>
      <c r="C537" t="s">
        <v>193</v>
      </c>
      <c r="D537" t="s">
        <v>41</v>
      </c>
      <c r="E537">
        <v>86</v>
      </c>
      <c r="F537">
        <v>49</v>
      </c>
      <c r="G537" s="1">
        <v>500</v>
      </c>
      <c r="H537" s="1">
        <v>500</v>
      </c>
      <c r="I537" s="1">
        <v>750</v>
      </c>
      <c r="J537" s="1">
        <v>1500</v>
      </c>
    </row>
    <row r="538" spans="1:10" x14ac:dyDescent="0.3">
      <c r="A538" t="s">
        <v>1</v>
      </c>
      <c r="B538" t="s">
        <v>8</v>
      </c>
      <c r="C538" t="s">
        <v>193</v>
      </c>
      <c r="D538" t="s">
        <v>51</v>
      </c>
      <c r="E538">
        <v>86</v>
      </c>
      <c r="F538">
        <v>56</v>
      </c>
      <c r="G538" s="1">
        <v>1100</v>
      </c>
      <c r="H538" s="1">
        <v>1100</v>
      </c>
      <c r="I538" s="1">
        <v>2200</v>
      </c>
      <c r="J538" s="1">
        <v>2000</v>
      </c>
    </row>
    <row r="539" spans="1:10" x14ac:dyDescent="0.3">
      <c r="A539" t="s">
        <v>1</v>
      </c>
      <c r="B539" t="s">
        <v>8</v>
      </c>
      <c r="C539" t="s">
        <v>193</v>
      </c>
      <c r="D539" t="s">
        <v>75</v>
      </c>
      <c r="E539">
        <v>86</v>
      </c>
      <c r="F539">
        <v>77</v>
      </c>
      <c r="G539" s="1">
        <v>1040</v>
      </c>
      <c r="H539" s="1">
        <v>1040</v>
      </c>
      <c r="I539" s="1">
        <v>1976</v>
      </c>
      <c r="J539" s="1">
        <v>1900</v>
      </c>
    </row>
    <row r="540" spans="1:10" x14ac:dyDescent="0.3">
      <c r="A540" t="s">
        <v>1</v>
      </c>
      <c r="B540" t="s">
        <v>6</v>
      </c>
      <c r="C540" t="s">
        <v>193</v>
      </c>
      <c r="D540" t="s">
        <v>75</v>
      </c>
      <c r="E540">
        <v>86</v>
      </c>
      <c r="F540">
        <v>77</v>
      </c>
      <c r="G540" s="1">
        <v>1600</v>
      </c>
      <c r="H540" s="1">
        <v>1390</v>
      </c>
      <c r="I540" s="1">
        <v>2224</v>
      </c>
      <c r="J540" s="1">
        <v>1600</v>
      </c>
    </row>
    <row r="541" spans="1:10" x14ac:dyDescent="0.3">
      <c r="A541" t="s">
        <v>1</v>
      </c>
      <c r="B541" t="s">
        <v>5</v>
      </c>
      <c r="C541" t="s">
        <v>193</v>
      </c>
      <c r="D541" t="s">
        <v>75</v>
      </c>
      <c r="E541">
        <v>86</v>
      </c>
      <c r="F541">
        <v>77</v>
      </c>
      <c r="G541" s="1">
        <v>1300</v>
      </c>
      <c r="H541" s="1">
        <v>700</v>
      </c>
      <c r="I541" s="1">
        <v>490</v>
      </c>
      <c r="J541" s="1">
        <v>700</v>
      </c>
    </row>
    <row r="542" spans="1:10" x14ac:dyDescent="0.3">
      <c r="A542" t="s">
        <v>1</v>
      </c>
      <c r="B542" t="s">
        <v>4</v>
      </c>
      <c r="C542" t="s">
        <v>193</v>
      </c>
      <c r="D542" t="s">
        <v>75</v>
      </c>
      <c r="E542">
        <v>86</v>
      </c>
      <c r="F542">
        <v>77</v>
      </c>
      <c r="G542" s="1">
        <v>1500</v>
      </c>
      <c r="H542" s="1">
        <v>1500</v>
      </c>
      <c r="I542" s="1">
        <v>2400</v>
      </c>
      <c r="J542" s="1">
        <v>1600</v>
      </c>
    </row>
    <row r="543" spans="1:10" x14ac:dyDescent="0.3">
      <c r="A543" t="s">
        <v>1</v>
      </c>
      <c r="B543" t="s">
        <v>3</v>
      </c>
      <c r="C543" t="s">
        <v>193</v>
      </c>
      <c r="D543" t="s">
        <v>75</v>
      </c>
      <c r="E543">
        <v>86</v>
      </c>
      <c r="F543">
        <v>77</v>
      </c>
      <c r="G543" s="1">
        <v>2150</v>
      </c>
      <c r="H543" s="1">
        <v>1780</v>
      </c>
      <c r="I543" s="1">
        <v>1602</v>
      </c>
      <c r="J543" s="1">
        <v>900</v>
      </c>
    </row>
    <row r="544" spans="1:10" x14ac:dyDescent="0.3">
      <c r="A544" t="s">
        <v>1</v>
      </c>
      <c r="B544" t="s">
        <v>0</v>
      </c>
      <c r="C544" t="s">
        <v>193</v>
      </c>
      <c r="D544" t="s">
        <v>75</v>
      </c>
      <c r="E544">
        <v>86</v>
      </c>
      <c r="F544">
        <v>77</v>
      </c>
      <c r="G544" s="1">
        <v>750</v>
      </c>
      <c r="H544" s="1">
        <v>750</v>
      </c>
      <c r="I544" s="1">
        <v>1313</v>
      </c>
      <c r="J544" s="1">
        <v>1750</v>
      </c>
    </row>
    <row r="545" spans="1:10" x14ac:dyDescent="0.3">
      <c r="A545" t="s">
        <v>1</v>
      </c>
      <c r="B545" t="s">
        <v>9</v>
      </c>
      <c r="C545" t="s">
        <v>193</v>
      </c>
      <c r="D545" t="s">
        <v>54</v>
      </c>
      <c r="E545">
        <v>86</v>
      </c>
      <c r="F545">
        <v>84</v>
      </c>
      <c r="G545" s="1">
        <v>1000</v>
      </c>
      <c r="H545" s="1">
        <v>1000</v>
      </c>
      <c r="I545" s="1">
        <v>1500</v>
      </c>
      <c r="J545" s="1">
        <v>1500</v>
      </c>
    </row>
    <row r="546" spans="1:10" x14ac:dyDescent="0.3">
      <c r="A546" t="s">
        <v>1</v>
      </c>
      <c r="B546" t="s">
        <v>8</v>
      </c>
      <c r="C546" t="s">
        <v>193</v>
      </c>
      <c r="D546" t="s">
        <v>54</v>
      </c>
      <c r="E546">
        <v>86</v>
      </c>
      <c r="F546">
        <v>84</v>
      </c>
      <c r="G546" s="1">
        <v>400</v>
      </c>
      <c r="H546" s="1">
        <v>400</v>
      </c>
      <c r="I546" s="1">
        <v>760</v>
      </c>
      <c r="J546" s="1">
        <v>1900</v>
      </c>
    </row>
    <row r="547" spans="1:10" x14ac:dyDescent="0.3">
      <c r="A547" t="s">
        <v>1</v>
      </c>
      <c r="B547" t="s">
        <v>7</v>
      </c>
      <c r="C547" t="s">
        <v>193</v>
      </c>
      <c r="D547" t="s">
        <v>54</v>
      </c>
      <c r="E547">
        <v>86</v>
      </c>
      <c r="F547">
        <v>84</v>
      </c>
      <c r="G547" s="1">
        <v>500</v>
      </c>
      <c r="H547" s="1">
        <v>500</v>
      </c>
      <c r="I547" s="1">
        <v>750</v>
      </c>
      <c r="J547" s="1">
        <v>1500</v>
      </c>
    </row>
    <row r="548" spans="1:10" x14ac:dyDescent="0.3">
      <c r="A548" t="s">
        <v>1</v>
      </c>
      <c r="B548" t="s">
        <v>6</v>
      </c>
      <c r="C548" t="s">
        <v>193</v>
      </c>
      <c r="D548" t="s">
        <v>54</v>
      </c>
      <c r="E548">
        <v>86</v>
      </c>
      <c r="F548">
        <v>84</v>
      </c>
      <c r="G548" s="1">
        <v>500</v>
      </c>
      <c r="H548" s="1">
        <v>500</v>
      </c>
      <c r="I548" s="1">
        <v>900</v>
      </c>
      <c r="J548" s="1">
        <v>1800</v>
      </c>
    </row>
    <row r="549" spans="1:10" x14ac:dyDescent="0.3">
      <c r="A549" t="s">
        <v>1</v>
      </c>
      <c r="B549" t="s">
        <v>5</v>
      </c>
      <c r="C549" t="s">
        <v>193</v>
      </c>
      <c r="D549" t="s">
        <v>54</v>
      </c>
      <c r="E549">
        <v>86</v>
      </c>
      <c r="F549">
        <v>84</v>
      </c>
      <c r="G549" s="1">
        <v>1000</v>
      </c>
      <c r="H549" s="1">
        <v>1000</v>
      </c>
      <c r="I549" s="1">
        <v>1500</v>
      </c>
      <c r="J549" s="1">
        <v>1500</v>
      </c>
    </row>
    <row r="550" spans="1:10" x14ac:dyDescent="0.3">
      <c r="A550" t="s">
        <v>1</v>
      </c>
      <c r="B550" t="s">
        <v>9</v>
      </c>
      <c r="C550" t="s">
        <v>193</v>
      </c>
      <c r="D550" t="s">
        <v>70</v>
      </c>
      <c r="E550">
        <v>86</v>
      </c>
      <c r="F550">
        <v>91</v>
      </c>
      <c r="G550" s="1">
        <v>2000</v>
      </c>
      <c r="H550" s="1">
        <v>2000</v>
      </c>
      <c r="I550" s="1">
        <v>3600</v>
      </c>
      <c r="J550" s="1">
        <v>1800</v>
      </c>
    </row>
    <row r="551" spans="1:10" x14ac:dyDescent="0.3">
      <c r="A551" t="s">
        <v>1</v>
      </c>
      <c r="B551" t="s">
        <v>8</v>
      </c>
      <c r="C551" t="s">
        <v>193</v>
      </c>
      <c r="D551" t="s">
        <v>70</v>
      </c>
      <c r="E551">
        <v>86</v>
      </c>
      <c r="F551">
        <v>91</v>
      </c>
      <c r="G551" s="1">
        <v>1500</v>
      </c>
      <c r="H551" s="1">
        <v>1500</v>
      </c>
      <c r="I551" s="1">
        <v>3000</v>
      </c>
      <c r="J551" s="1">
        <v>2000</v>
      </c>
    </row>
    <row r="552" spans="1:10" x14ac:dyDescent="0.3">
      <c r="A552" t="s">
        <v>1</v>
      </c>
      <c r="B552" t="s">
        <v>7</v>
      </c>
      <c r="C552" t="s">
        <v>193</v>
      </c>
      <c r="D552" t="s">
        <v>70</v>
      </c>
      <c r="E552">
        <v>86</v>
      </c>
      <c r="F552">
        <v>91</v>
      </c>
      <c r="G552" s="1">
        <v>2500</v>
      </c>
      <c r="H552" s="1">
        <v>2250</v>
      </c>
      <c r="I552" s="1">
        <v>4050</v>
      </c>
      <c r="J552" s="1">
        <v>1800</v>
      </c>
    </row>
    <row r="553" spans="1:10" x14ac:dyDescent="0.3">
      <c r="A553" t="s">
        <v>1</v>
      </c>
      <c r="B553" t="s">
        <v>6</v>
      </c>
      <c r="C553" t="s">
        <v>193</v>
      </c>
      <c r="D553" t="s">
        <v>70</v>
      </c>
      <c r="E553">
        <v>86</v>
      </c>
      <c r="F553">
        <v>91</v>
      </c>
      <c r="G553" s="1">
        <v>2500</v>
      </c>
      <c r="H553" s="1">
        <v>2500</v>
      </c>
      <c r="I553" s="1">
        <v>5000</v>
      </c>
      <c r="J553" s="1">
        <v>2000</v>
      </c>
    </row>
    <row r="554" spans="1:10" x14ac:dyDescent="0.3">
      <c r="A554" t="s">
        <v>1</v>
      </c>
      <c r="B554" t="s">
        <v>5</v>
      </c>
      <c r="C554" t="s">
        <v>193</v>
      </c>
      <c r="D554" t="s">
        <v>70</v>
      </c>
      <c r="E554">
        <v>86</v>
      </c>
      <c r="F554">
        <v>91</v>
      </c>
      <c r="G554" s="1">
        <v>4000</v>
      </c>
      <c r="H554" s="1">
        <v>4000</v>
      </c>
      <c r="I554" s="1">
        <v>6000</v>
      </c>
      <c r="J554" s="1">
        <v>1500</v>
      </c>
    </row>
    <row r="555" spans="1:10" x14ac:dyDescent="0.3">
      <c r="A555" t="s">
        <v>1</v>
      </c>
      <c r="B555" t="s">
        <v>4</v>
      </c>
      <c r="C555" t="s">
        <v>193</v>
      </c>
      <c r="D555" t="s">
        <v>70</v>
      </c>
      <c r="E555">
        <v>86</v>
      </c>
      <c r="F555">
        <v>91</v>
      </c>
      <c r="G555" s="1">
        <v>5000</v>
      </c>
      <c r="H555" s="1">
        <v>5000</v>
      </c>
      <c r="I555" s="1">
        <v>10000</v>
      </c>
      <c r="J555" s="1">
        <v>2000</v>
      </c>
    </row>
    <row r="556" spans="1:10" x14ac:dyDescent="0.3">
      <c r="A556" t="s">
        <v>1</v>
      </c>
      <c r="B556" t="s">
        <v>3</v>
      </c>
      <c r="C556" t="s">
        <v>193</v>
      </c>
      <c r="D556" t="s">
        <v>70</v>
      </c>
      <c r="E556">
        <v>86</v>
      </c>
      <c r="F556">
        <v>91</v>
      </c>
      <c r="G556" s="1">
        <v>5000</v>
      </c>
      <c r="H556" s="1">
        <v>4920</v>
      </c>
      <c r="I556" s="1">
        <v>4920</v>
      </c>
      <c r="J556" s="1">
        <v>1000</v>
      </c>
    </row>
    <row r="557" spans="1:10" x14ac:dyDescent="0.3">
      <c r="A557" t="s">
        <v>1</v>
      </c>
      <c r="B557" t="s">
        <v>0</v>
      </c>
      <c r="C557" t="s">
        <v>193</v>
      </c>
      <c r="D557" t="s">
        <v>70</v>
      </c>
      <c r="E557">
        <v>86</v>
      </c>
      <c r="F557">
        <v>91</v>
      </c>
      <c r="G557" s="1">
        <v>5500</v>
      </c>
      <c r="H557" s="1">
        <v>5000</v>
      </c>
      <c r="I557" s="1">
        <v>5000</v>
      </c>
      <c r="J557" s="1">
        <v>1000</v>
      </c>
    </row>
    <row r="558" spans="1:10" x14ac:dyDescent="0.3">
      <c r="A558" t="s">
        <v>1</v>
      </c>
      <c r="B558" t="s">
        <v>8</v>
      </c>
      <c r="C558" t="s">
        <v>193</v>
      </c>
      <c r="D558" t="s">
        <v>69</v>
      </c>
      <c r="E558">
        <v>86</v>
      </c>
      <c r="F558">
        <v>98</v>
      </c>
      <c r="G558" s="1">
        <v>800</v>
      </c>
      <c r="H558" s="1">
        <v>800</v>
      </c>
      <c r="I558" s="1">
        <v>1440</v>
      </c>
      <c r="J558" s="1">
        <v>1800</v>
      </c>
    </row>
    <row r="559" spans="1:10" x14ac:dyDescent="0.3">
      <c r="A559" t="s">
        <v>1</v>
      </c>
      <c r="B559" t="s">
        <v>6</v>
      </c>
      <c r="C559" t="s">
        <v>193</v>
      </c>
      <c r="D559" t="s">
        <v>69</v>
      </c>
      <c r="E559">
        <v>86</v>
      </c>
      <c r="F559">
        <v>98</v>
      </c>
      <c r="G559" s="1">
        <v>750</v>
      </c>
      <c r="H559" s="1">
        <v>580</v>
      </c>
      <c r="I559" s="1">
        <v>812</v>
      </c>
      <c r="J559" s="1">
        <v>1400</v>
      </c>
    </row>
    <row r="560" spans="1:10" x14ac:dyDescent="0.3">
      <c r="A560" t="s">
        <v>1</v>
      </c>
      <c r="B560" t="s">
        <v>5</v>
      </c>
      <c r="C560" t="s">
        <v>193</v>
      </c>
      <c r="D560" t="s">
        <v>69</v>
      </c>
      <c r="E560">
        <v>86</v>
      </c>
      <c r="F560">
        <v>98</v>
      </c>
      <c r="G560" s="1">
        <v>700</v>
      </c>
      <c r="H560" s="1">
        <v>360</v>
      </c>
      <c r="I560" s="1">
        <v>216</v>
      </c>
      <c r="J560" s="1">
        <v>600</v>
      </c>
    </row>
    <row r="561" spans="1:10" x14ac:dyDescent="0.3">
      <c r="A561" t="s">
        <v>1</v>
      </c>
      <c r="B561" t="s">
        <v>4</v>
      </c>
      <c r="C561" t="s">
        <v>193</v>
      </c>
      <c r="D561" t="s">
        <v>69</v>
      </c>
      <c r="E561">
        <v>86</v>
      </c>
      <c r="F561">
        <v>98</v>
      </c>
      <c r="G561" s="1">
        <v>700</v>
      </c>
      <c r="H561" s="1">
        <v>700</v>
      </c>
      <c r="I561" s="1">
        <v>1120</v>
      </c>
      <c r="J561" s="1">
        <v>1600</v>
      </c>
    </row>
    <row r="562" spans="1:10" x14ac:dyDescent="0.3">
      <c r="A562" t="s">
        <v>1</v>
      </c>
      <c r="B562" t="s">
        <v>3</v>
      </c>
      <c r="C562" t="s">
        <v>193</v>
      </c>
      <c r="D562" t="s">
        <v>69</v>
      </c>
      <c r="E562">
        <v>86</v>
      </c>
      <c r="F562">
        <v>98</v>
      </c>
      <c r="G562" s="1">
        <v>1140</v>
      </c>
      <c r="H562" s="1">
        <v>870</v>
      </c>
      <c r="I562" s="1">
        <v>783</v>
      </c>
      <c r="J562" s="1">
        <v>900</v>
      </c>
    </row>
    <row r="563" spans="1:10" x14ac:dyDescent="0.3">
      <c r="A563" t="s">
        <v>1</v>
      </c>
      <c r="B563" t="s">
        <v>0</v>
      </c>
      <c r="C563" t="s">
        <v>193</v>
      </c>
      <c r="D563" t="s">
        <v>69</v>
      </c>
      <c r="E563">
        <v>86</v>
      </c>
      <c r="F563">
        <v>98</v>
      </c>
      <c r="G563" s="1">
        <v>380</v>
      </c>
      <c r="H563" s="1">
        <v>380</v>
      </c>
      <c r="I563" s="1">
        <v>665</v>
      </c>
      <c r="J563" s="1">
        <v>1750</v>
      </c>
    </row>
    <row r="564" spans="1:10" x14ac:dyDescent="0.3">
      <c r="A564" t="s">
        <v>1</v>
      </c>
      <c r="B564" t="s">
        <v>8</v>
      </c>
      <c r="C564" t="s">
        <v>193</v>
      </c>
      <c r="D564" t="s">
        <v>72</v>
      </c>
      <c r="E564">
        <v>86</v>
      </c>
      <c r="F564">
        <v>119</v>
      </c>
      <c r="G564" s="1">
        <v>6840</v>
      </c>
      <c r="H564" s="1">
        <v>6840</v>
      </c>
      <c r="I564" s="1">
        <v>12312</v>
      </c>
      <c r="J564" s="1">
        <v>1800</v>
      </c>
    </row>
    <row r="565" spans="1:10" x14ac:dyDescent="0.3">
      <c r="A565" t="s">
        <v>1</v>
      </c>
      <c r="B565" t="s">
        <v>6</v>
      </c>
      <c r="C565" t="s">
        <v>193</v>
      </c>
      <c r="D565" t="s">
        <v>72</v>
      </c>
      <c r="E565">
        <v>86</v>
      </c>
      <c r="F565">
        <v>119</v>
      </c>
      <c r="G565" s="1">
        <v>5500</v>
      </c>
      <c r="H565" s="1">
        <v>5220</v>
      </c>
      <c r="I565" s="1">
        <v>7830</v>
      </c>
      <c r="J565" s="1">
        <v>1500</v>
      </c>
    </row>
    <row r="566" spans="1:10" x14ac:dyDescent="0.3">
      <c r="A566" t="s">
        <v>1</v>
      </c>
      <c r="B566" t="s">
        <v>5</v>
      </c>
      <c r="C566" t="s">
        <v>193</v>
      </c>
      <c r="D566" t="s">
        <v>72</v>
      </c>
      <c r="E566">
        <v>86</v>
      </c>
      <c r="F566">
        <v>119</v>
      </c>
      <c r="G566" s="1">
        <v>4800</v>
      </c>
      <c r="H566" s="1">
        <v>2590</v>
      </c>
      <c r="I566" s="1">
        <v>1554</v>
      </c>
      <c r="J566" s="1">
        <v>600</v>
      </c>
    </row>
    <row r="567" spans="1:10" x14ac:dyDescent="0.3">
      <c r="A567" t="s">
        <v>1</v>
      </c>
      <c r="B567" t="s">
        <v>4</v>
      </c>
      <c r="C567" t="s">
        <v>193</v>
      </c>
      <c r="D567" t="s">
        <v>72</v>
      </c>
      <c r="E567">
        <v>86</v>
      </c>
      <c r="F567">
        <v>119</v>
      </c>
      <c r="G567" s="1">
        <v>4800</v>
      </c>
      <c r="H567" s="1">
        <v>4800</v>
      </c>
      <c r="I567" s="1">
        <v>7680</v>
      </c>
      <c r="J567" s="1">
        <v>1600</v>
      </c>
    </row>
    <row r="568" spans="1:10" x14ac:dyDescent="0.3">
      <c r="A568" t="s">
        <v>1</v>
      </c>
      <c r="B568" t="s">
        <v>3</v>
      </c>
      <c r="C568" t="s">
        <v>193</v>
      </c>
      <c r="D568" t="s">
        <v>72</v>
      </c>
      <c r="E568">
        <v>86</v>
      </c>
      <c r="F568">
        <v>119</v>
      </c>
      <c r="G568" s="1">
        <v>6420</v>
      </c>
      <c r="H568" s="1">
        <v>5280</v>
      </c>
      <c r="I568" s="1">
        <v>4752</v>
      </c>
      <c r="J568" s="1">
        <v>900</v>
      </c>
    </row>
    <row r="569" spans="1:10" x14ac:dyDescent="0.3">
      <c r="A569" t="s">
        <v>1</v>
      </c>
      <c r="B569" t="s">
        <v>0</v>
      </c>
      <c r="C569" t="s">
        <v>193</v>
      </c>
      <c r="D569" t="s">
        <v>72</v>
      </c>
      <c r="E569">
        <v>86</v>
      </c>
      <c r="F569">
        <v>119</v>
      </c>
      <c r="G569" s="1">
        <v>2850</v>
      </c>
      <c r="H569" s="1">
        <v>2850</v>
      </c>
      <c r="I569" s="1">
        <v>5643</v>
      </c>
      <c r="J569" s="1">
        <v>1980</v>
      </c>
    </row>
    <row r="570" spans="1:10" x14ac:dyDescent="0.3">
      <c r="A570" t="s">
        <v>1</v>
      </c>
      <c r="B570" t="s">
        <v>9</v>
      </c>
      <c r="C570" t="s">
        <v>193</v>
      </c>
      <c r="D570" t="s">
        <v>68</v>
      </c>
      <c r="E570">
        <v>86</v>
      </c>
      <c r="F570">
        <v>133</v>
      </c>
      <c r="G570" s="1">
        <v>3000</v>
      </c>
      <c r="H570" s="1">
        <v>3000</v>
      </c>
      <c r="I570" s="1">
        <v>5400</v>
      </c>
      <c r="J570" s="1">
        <v>1800</v>
      </c>
    </row>
    <row r="571" spans="1:10" x14ac:dyDescent="0.3">
      <c r="A571" t="s">
        <v>1</v>
      </c>
      <c r="B571" t="s">
        <v>8</v>
      </c>
      <c r="C571" t="s">
        <v>193</v>
      </c>
      <c r="D571" t="s">
        <v>68</v>
      </c>
      <c r="E571">
        <v>86</v>
      </c>
      <c r="F571">
        <v>133</v>
      </c>
      <c r="G571" s="1">
        <v>5800</v>
      </c>
      <c r="H571" s="1">
        <v>5800</v>
      </c>
      <c r="I571" s="1">
        <v>10440</v>
      </c>
      <c r="J571" s="1">
        <v>1800</v>
      </c>
    </row>
    <row r="572" spans="1:10" x14ac:dyDescent="0.3">
      <c r="A572" t="s">
        <v>1</v>
      </c>
      <c r="B572" t="s">
        <v>7</v>
      </c>
      <c r="C572" t="s">
        <v>193</v>
      </c>
      <c r="D572" t="s">
        <v>68</v>
      </c>
      <c r="E572">
        <v>86</v>
      </c>
      <c r="F572">
        <v>133</v>
      </c>
      <c r="G572" s="1">
        <v>4000</v>
      </c>
      <c r="H572" s="1">
        <v>3800</v>
      </c>
      <c r="I572" s="1">
        <v>6840</v>
      </c>
      <c r="J572" s="1">
        <v>1800</v>
      </c>
    </row>
    <row r="573" spans="1:10" x14ac:dyDescent="0.3">
      <c r="A573" t="s">
        <v>1</v>
      </c>
      <c r="B573" t="s">
        <v>6</v>
      </c>
      <c r="C573" t="s">
        <v>193</v>
      </c>
      <c r="D573" t="s">
        <v>68</v>
      </c>
      <c r="E573">
        <v>86</v>
      </c>
      <c r="F573">
        <v>133</v>
      </c>
      <c r="G573" s="1">
        <v>4000</v>
      </c>
      <c r="H573" s="1">
        <v>4000</v>
      </c>
      <c r="I573" s="1">
        <v>8000</v>
      </c>
      <c r="J573" s="1">
        <v>2000</v>
      </c>
    </row>
    <row r="574" spans="1:10" x14ac:dyDescent="0.3">
      <c r="A574" t="s">
        <v>1</v>
      </c>
      <c r="B574" t="s">
        <v>5</v>
      </c>
      <c r="C574" t="s">
        <v>193</v>
      </c>
      <c r="D574" t="s">
        <v>68</v>
      </c>
      <c r="E574">
        <v>86</v>
      </c>
      <c r="F574">
        <v>133</v>
      </c>
      <c r="G574" s="1">
        <v>4000</v>
      </c>
      <c r="H574" s="1">
        <v>4000</v>
      </c>
      <c r="I574" s="1">
        <v>6000</v>
      </c>
      <c r="J574" s="1">
        <v>1500</v>
      </c>
    </row>
    <row r="575" spans="1:10" x14ac:dyDescent="0.3">
      <c r="A575" t="s">
        <v>1</v>
      </c>
      <c r="B575" t="s">
        <v>4</v>
      </c>
      <c r="C575" t="s">
        <v>193</v>
      </c>
      <c r="D575" t="s">
        <v>68</v>
      </c>
      <c r="E575">
        <v>86</v>
      </c>
      <c r="F575">
        <v>133</v>
      </c>
      <c r="G575" s="1">
        <v>4000</v>
      </c>
      <c r="H575" s="1">
        <v>4000</v>
      </c>
      <c r="I575" s="1">
        <v>8000</v>
      </c>
      <c r="J575" s="1">
        <v>2000</v>
      </c>
    </row>
    <row r="576" spans="1:10" x14ac:dyDescent="0.3">
      <c r="A576" t="s">
        <v>1</v>
      </c>
      <c r="B576" t="s">
        <v>3</v>
      </c>
      <c r="C576" t="s">
        <v>193</v>
      </c>
      <c r="D576" t="s">
        <v>68</v>
      </c>
      <c r="E576">
        <v>86</v>
      </c>
      <c r="F576">
        <v>133</v>
      </c>
      <c r="G576" s="1">
        <v>4000</v>
      </c>
      <c r="H576" s="1">
        <v>3940</v>
      </c>
      <c r="I576" s="1">
        <v>3940</v>
      </c>
      <c r="J576" s="1">
        <v>1000</v>
      </c>
    </row>
    <row r="577" spans="1:10" x14ac:dyDescent="0.3">
      <c r="A577" t="s">
        <v>1</v>
      </c>
      <c r="B577" t="s">
        <v>0</v>
      </c>
      <c r="C577" t="s">
        <v>193</v>
      </c>
      <c r="D577" t="s">
        <v>68</v>
      </c>
      <c r="E577">
        <v>86</v>
      </c>
      <c r="F577">
        <v>133</v>
      </c>
      <c r="G577" s="1">
        <v>4500</v>
      </c>
      <c r="H577" s="1">
        <v>4500</v>
      </c>
      <c r="I577" s="1">
        <v>4500</v>
      </c>
      <c r="J577" s="1">
        <v>1000</v>
      </c>
    </row>
    <row r="578" spans="1:10" x14ac:dyDescent="0.3">
      <c r="A578" t="s">
        <v>1</v>
      </c>
      <c r="B578" t="s">
        <v>4</v>
      </c>
      <c r="C578" t="s">
        <v>193</v>
      </c>
      <c r="D578" t="s">
        <v>65</v>
      </c>
      <c r="E578">
        <v>86</v>
      </c>
      <c r="F578">
        <v>147</v>
      </c>
      <c r="G578" s="1">
        <v>1000</v>
      </c>
      <c r="H578" s="1">
        <v>1000</v>
      </c>
      <c r="I578" s="1">
        <v>2000</v>
      </c>
      <c r="J578" s="1">
        <v>2000</v>
      </c>
    </row>
    <row r="579" spans="1:10" x14ac:dyDescent="0.3">
      <c r="A579" t="s">
        <v>1</v>
      </c>
      <c r="B579" t="s">
        <v>3</v>
      </c>
      <c r="C579" t="s">
        <v>193</v>
      </c>
      <c r="D579" t="s">
        <v>65</v>
      </c>
      <c r="E579">
        <v>86</v>
      </c>
      <c r="F579">
        <v>147</v>
      </c>
      <c r="G579" s="1">
        <v>1000</v>
      </c>
      <c r="H579" s="1">
        <v>955</v>
      </c>
      <c r="I579" s="1">
        <v>764</v>
      </c>
      <c r="J579" s="1">
        <v>800</v>
      </c>
    </row>
    <row r="580" spans="1:10" x14ac:dyDescent="0.3">
      <c r="A580" t="s">
        <v>1</v>
      </c>
      <c r="B580" t="s">
        <v>0</v>
      </c>
      <c r="C580" t="s">
        <v>193</v>
      </c>
      <c r="D580" t="s">
        <v>65</v>
      </c>
      <c r="E580">
        <v>86</v>
      </c>
      <c r="F580">
        <v>147</v>
      </c>
      <c r="G580" s="1">
        <v>1000</v>
      </c>
      <c r="H580" s="1">
        <v>1000</v>
      </c>
      <c r="I580" s="1">
        <v>1000</v>
      </c>
      <c r="J580" s="1">
        <v>1000</v>
      </c>
    </row>
    <row r="581" spans="1:10" x14ac:dyDescent="0.3">
      <c r="A581" t="s">
        <v>120</v>
      </c>
      <c r="B581" t="s">
        <v>17</v>
      </c>
      <c r="C581" t="s">
        <v>193</v>
      </c>
      <c r="D581" t="s">
        <v>64</v>
      </c>
      <c r="E581">
        <v>86</v>
      </c>
      <c r="F581">
        <v>7</v>
      </c>
      <c r="G581" s="1">
        <v>350</v>
      </c>
      <c r="H581" s="1">
        <v>350</v>
      </c>
      <c r="I581" s="1">
        <v>700</v>
      </c>
      <c r="J581" s="1">
        <v>2000</v>
      </c>
    </row>
    <row r="582" spans="1:10" x14ac:dyDescent="0.3">
      <c r="A582" t="s">
        <v>120</v>
      </c>
      <c r="B582" t="s">
        <v>14</v>
      </c>
      <c r="C582" t="s">
        <v>193</v>
      </c>
      <c r="D582" t="s">
        <v>64</v>
      </c>
      <c r="E582">
        <v>86</v>
      </c>
      <c r="F582">
        <v>7</v>
      </c>
      <c r="G582" s="1">
        <v>2000</v>
      </c>
      <c r="H582" s="1">
        <v>2000</v>
      </c>
      <c r="I582" s="1">
        <v>3000</v>
      </c>
      <c r="J582" s="1">
        <v>1500</v>
      </c>
    </row>
    <row r="583" spans="1:10" x14ac:dyDescent="0.3">
      <c r="A583" t="s">
        <v>120</v>
      </c>
      <c r="B583" t="s">
        <v>12</v>
      </c>
      <c r="C583" t="s">
        <v>193</v>
      </c>
      <c r="D583" t="s">
        <v>64</v>
      </c>
      <c r="E583">
        <v>86</v>
      </c>
      <c r="F583">
        <v>7</v>
      </c>
      <c r="G583" s="1">
        <v>4000</v>
      </c>
      <c r="H583" s="1">
        <v>4000</v>
      </c>
      <c r="I583" s="1">
        <v>7200</v>
      </c>
      <c r="J583" s="1">
        <v>1800</v>
      </c>
    </row>
    <row r="584" spans="1:10" x14ac:dyDescent="0.3">
      <c r="A584" t="s">
        <v>120</v>
      </c>
      <c r="B584" t="s">
        <v>9</v>
      </c>
      <c r="C584" t="s">
        <v>193</v>
      </c>
      <c r="D584" t="s">
        <v>64</v>
      </c>
      <c r="E584">
        <v>86</v>
      </c>
      <c r="F584">
        <v>7</v>
      </c>
      <c r="G584" s="1">
        <v>4151</v>
      </c>
      <c r="H584" s="1">
        <v>4151</v>
      </c>
      <c r="I584" s="1">
        <v>7057</v>
      </c>
      <c r="J584" s="1">
        <v>1700</v>
      </c>
    </row>
    <row r="585" spans="1:10" x14ac:dyDescent="0.3">
      <c r="A585" t="s">
        <v>120</v>
      </c>
      <c r="B585" t="s">
        <v>8</v>
      </c>
      <c r="C585" t="s">
        <v>193</v>
      </c>
      <c r="D585" t="s">
        <v>64</v>
      </c>
      <c r="E585">
        <v>86</v>
      </c>
      <c r="F585">
        <v>7</v>
      </c>
      <c r="G585" s="1">
        <v>3030</v>
      </c>
      <c r="H585" s="1">
        <v>3030</v>
      </c>
      <c r="I585" s="1">
        <v>6060</v>
      </c>
      <c r="J585" s="1">
        <v>2000</v>
      </c>
    </row>
    <row r="586" spans="1:10" x14ac:dyDescent="0.3">
      <c r="A586" t="s">
        <v>120</v>
      </c>
      <c r="B586" t="s">
        <v>6</v>
      </c>
      <c r="C586" t="s">
        <v>193</v>
      </c>
      <c r="D586" t="s">
        <v>64</v>
      </c>
      <c r="E586">
        <v>86</v>
      </c>
      <c r="F586">
        <v>7</v>
      </c>
      <c r="G586" s="1">
        <v>550</v>
      </c>
      <c r="H586" s="1">
        <v>550</v>
      </c>
      <c r="I586" s="1">
        <v>748</v>
      </c>
      <c r="J586" s="1">
        <v>1360</v>
      </c>
    </row>
    <row r="587" spans="1:10" x14ac:dyDescent="0.3">
      <c r="A587" t="s">
        <v>120</v>
      </c>
      <c r="B587" t="s">
        <v>5</v>
      </c>
      <c r="C587" t="s">
        <v>193</v>
      </c>
      <c r="D587" t="s">
        <v>64</v>
      </c>
      <c r="E587">
        <v>86</v>
      </c>
      <c r="F587">
        <v>7</v>
      </c>
      <c r="G587" s="1">
        <v>3300</v>
      </c>
      <c r="H587" s="1">
        <v>3300</v>
      </c>
      <c r="I587" s="1">
        <v>3630</v>
      </c>
      <c r="J587" s="1">
        <v>1100</v>
      </c>
    </row>
    <row r="588" spans="1:10" x14ac:dyDescent="0.3">
      <c r="A588" t="s">
        <v>120</v>
      </c>
      <c r="B588" t="s">
        <v>4</v>
      </c>
      <c r="C588" t="s">
        <v>193</v>
      </c>
      <c r="D588" t="s">
        <v>64</v>
      </c>
      <c r="E588">
        <v>86</v>
      </c>
      <c r="F588">
        <v>7</v>
      </c>
      <c r="G588" s="1">
        <v>250</v>
      </c>
      <c r="H588" s="1">
        <v>250</v>
      </c>
      <c r="I588" s="1">
        <v>400</v>
      </c>
      <c r="J588" s="1">
        <v>1600</v>
      </c>
    </row>
    <row r="589" spans="1:10" x14ac:dyDescent="0.3">
      <c r="A589" t="s">
        <v>120</v>
      </c>
      <c r="B589" t="s">
        <v>3</v>
      </c>
      <c r="C589" t="s">
        <v>193</v>
      </c>
      <c r="D589" t="s">
        <v>64</v>
      </c>
      <c r="E589">
        <v>86</v>
      </c>
      <c r="F589">
        <v>7</v>
      </c>
      <c r="G589" s="1">
        <v>850</v>
      </c>
      <c r="H589" s="1">
        <v>850</v>
      </c>
      <c r="I589" s="1">
        <v>1190</v>
      </c>
      <c r="J589" s="1">
        <v>1400</v>
      </c>
    </row>
    <row r="590" spans="1:10" x14ac:dyDescent="0.3">
      <c r="A590" t="s">
        <v>120</v>
      </c>
      <c r="B590" t="s">
        <v>18</v>
      </c>
      <c r="C590" t="s">
        <v>193</v>
      </c>
      <c r="D590" t="s">
        <v>62</v>
      </c>
      <c r="E590">
        <v>86</v>
      </c>
      <c r="F590">
        <v>14</v>
      </c>
      <c r="G590" s="1">
        <v>1000</v>
      </c>
      <c r="H590" s="1">
        <v>900</v>
      </c>
      <c r="I590" s="1">
        <v>1440</v>
      </c>
      <c r="J590" s="1">
        <v>1600</v>
      </c>
    </row>
    <row r="591" spans="1:10" x14ac:dyDescent="0.3">
      <c r="A591" t="s">
        <v>120</v>
      </c>
      <c r="B591" t="s">
        <v>17</v>
      </c>
      <c r="C591" t="s">
        <v>193</v>
      </c>
      <c r="D591" t="s">
        <v>62</v>
      </c>
      <c r="E591">
        <v>86</v>
      </c>
      <c r="F591">
        <v>14</v>
      </c>
      <c r="G591" s="1">
        <v>1200</v>
      </c>
      <c r="H591" s="1">
        <v>1200</v>
      </c>
      <c r="I591" s="1">
        <v>2400</v>
      </c>
      <c r="J591" s="1">
        <v>2000</v>
      </c>
    </row>
    <row r="592" spans="1:10" x14ac:dyDescent="0.3">
      <c r="A592" t="s">
        <v>120</v>
      </c>
      <c r="B592" t="s">
        <v>14</v>
      </c>
      <c r="C592" t="s">
        <v>193</v>
      </c>
      <c r="D592" t="s">
        <v>62</v>
      </c>
      <c r="E592">
        <v>86</v>
      </c>
      <c r="F592">
        <v>14</v>
      </c>
      <c r="G592" s="1">
        <v>1500</v>
      </c>
      <c r="H592" s="1">
        <v>1500</v>
      </c>
      <c r="I592" s="1">
        <v>2250</v>
      </c>
      <c r="J592" s="1">
        <v>1500</v>
      </c>
    </row>
    <row r="593" spans="1:10" x14ac:dyDescent="0.3">
      <c r="A593" t="s">
        <v>120</v>
      </c>
      <c r="B593" t="s">
        <v>12</v>
      </c>
      <c r="C593" t="s">
        <v>193</v>
      </c>
      <c r="D593" t="s">
        <v>62</v>
      </c>
      <c r="E593">
        <v>86</v>
      </c>
      <c r="F593">
        <v>14</v>
      </c>
      <c r="G593" s="1">
        <v>1200</v>
      </c>
      <c r="H593" s="1">
        <v>1200</v>
      </c>
      <c r="I593" s="1">
        <v>1680</v>
      </c>
      <c r="J593" s="1">
        <v>1400</v>
      </c>
    </row>
    <row r="594" spans="1:10" x14ac:dyDescent="0.3">
      <c r="A594" t="s">
        <v>120</v>
      </c>
      <c r="B594" t="s">
        <v>9</v>
      </c>
      <c r="C594" t="s">
        <v>193</v>
      </c>
      <c r="D594" t="s">
        <v>62</v>
      </c>
      <c r="E594">
        <v>86</v>
      </c>
      <c r="F594">
        <v>14</v>
      </c>
      <c r="G594" s="1">
        <v>1553</v>
      </c>
      <c r="H594" s="1">
        <v>1553</v>
      </c>
      <c r="I594" s="1">
        <v>3417</v>
      </c>
      <c r="J594" s="1">
        <v>2200</v>
      </c>
    </row>
    <row r="595" spans="1:10" x14ac:dyDescent="0.3">
      <c r="A595" t="s">
        <v>120</v>
      </c>
      <c r="B595" t="s">
        <v>8</v>
      </c>
      <c r="C595" t="s">
        <v>193</v>
      </c>
      <c r="D595" t="s">
        <v>62</v>
      </c>
      <c r="E595">
        <v>86</v>
      </c>
      <c r="F595">
        <v>14</v>
      </c>
      <c r="G595" s="1">
        <v>3138</v>
      </c>
      <c r="H595" s="1">
        <v>3138</v>
      </c>
      <c r="I595" s="1">
        <v>6904</v>
      </c>
      <c r="J595" s="1">
        <v>2200</v>
      </c>
    </row>
    <row r="596" spans="1:10" x14ac:dyDescent="0.3">
      <c r="A596" t="s">
        <v>120</v>
      </c>
      <c r="B596" t="s">
        <v>7</v>
      </c>
      <c r="C596" t="s">
        <v>193</v>
      </c>
      <c r="D596" t="s">
        <v>62</v>
      </c>
      <c r="E596">
        <v>86</v>
      </c>
      <c r="F596">
        <v>14</v>
      </c>
      <c r="G596" s="1">
        <v>420</v>
      </c>
      <c r="H596" s="1">
        <v>420</v>
      </c>
      <c r="I596" s="1">
        <v>588</v>
      </c>
      <c r="J596" s="1">
        <v>1400</v>
      </c>
    </row>
    <row r="597" spans="1:10" x14ac:dyDescent="0.3">
      <c r="A597" t="s">
        <v>120</v>
      </c>
      <c r="B597" t="s">
        <v>5</v>
      </c>
      <c r="C597" t="s">
        <v>193</v>
      </c>
      <c r="D597" t="s">
        <v>62</v>
      </c>
      <c r="E597">
        <v>86</v>
      </c>
      <c r="F597">
        <v>14</v>
      </c>
      <c r="G597" s="1">
        <v>600</v>
      </c>
      <c r="H597" s="1">
        <v>600</v>
      </c>
      <c r="I597" s="1">
        <v>420</v>
      </c>
      <c r="J597" s="1">
        <v>700</v>
      </c>
    </row>
    <row r="598" spans="1:10" x14ac:dyDescent="0.3">
      <c r="A598" t="s">
        <v>120</v>
      </c>
      <c r="B598" t="s">
        <v>4</v>
      </c>
      <c r="C598" t="s">
        <v>193</v>
      </c>
      <c r="D598" t="s">
        <v>62</v>
      </c>
      <c r="E598">
        <v>86</v>
      </c>
      <c r="F598">
        <v>14</v>
      </c>
      <c r="G598" s="1">
        <v>400</v>
      </c>
      <c r="H598" s="1">
        <v>400</v>
      </c>
      <c r="I598" s="1">
        <v>600</v>
      </c>
      <c r="J598" s="1">
        <v>1500</v>
      </c>
    </row>
    <row r="599" spans="1:10" x14ac:dyDescent="0.3">
      <c r="A599" t="s">
        <v>120</v>
      </c>
      <c r="B599" t="s">
        <v>3</v>
      </c>
      <c r="C599" t="s">
        <v>193</v>
      </c>
      <c r="D599" t="s">
        <v>62</v>
      </c>
      <c r="E599">
        <v>86</v>
      </c>
      <c r="F599">
        <v>14</v>
      </c>
      <c r="G599" s="1">
        <v>220</v>
      </c>
      <c r="H599" s="1">
        <v>220</v>
      </c>
      <c r="I599" s="1">
        <v>220</v>
      </c>
      <c r="J599" s="1">
        <v>1000</v>
      </c>
    </row>
    <row r="600" spans="1:10" x14ac:dyDescent="0.3">
      <c r="A600" t="s">
        <v>120</v>
      </c>
      <c r="B600" t="s">
        <v>18</v>
      </c>
      <c r="C600" t="s">
        <v>193</v>
      </c>
      <c r="D600" t="s">
        <v>74</v>
      </c>
      <c r="E600">
        <v>86</v>
      </c>
      <c r="F600">
        <v>42</v>
      </c>
      <c r="G600" s="1">
        <v>1000</v>
      </c>
      <c r="H600" s="1">
        <v>900</v>
      </c>
      <c r="I600" s="1">
        <v>1440</v>
      </c>
      <c r="J600" s="1">
        <v>1600</v>
      </c>
    </row>
    <row r="601" spans="1:10" x14ac:dyDescent="0.3">
      <c r="A601" t="s">
        <v>120</v>
      </c>
      <c r="B601" t="s">
        <v>17</v>
      </c>
      <c r="C601" t="s">
        <v>193</v>
      </c>
      <c r="D601" t="s">
        <v>74</v>
      </c>
      <c r="E601">
        <v>86</v>
      </c>
      <c r="F601">
        <v>42</v>
      </c>
      <c r="G601" s="1">
        <v>750</v>
      </c>
      <c r="H601" s="1">
        <v>750</v>
      </c>
      <c r="I601" s="1">
        <v>1170</v>
      </c>
      <c r="J601" s="1">
        <v>1560</v>
      </c>
    </row>
    <row r="602" spans="1:10" x14ac:dyDescent="0.3">
      <c r="A602" t="s">
        <v>120</v>
      </c>
      <c r="B602" t="s">
        <v>14</v>
      </c>
      <c r="C602" t="s">
        <v>193</v>
      </c>
      <c r="D602" t="s">
        <v>74</v>
      </c>
      <c r="E602">
        <v>86</v>
      </c>
      <c r="F602">
        <v>42</v>
      </c>
      <c r="G602" s="1">
        <v>12000</v>
      </c>
      <c r="H602" s="1">
        <v>12000</v>
      </c>
      <c r="I602" s="1">
        <v>15600</v>
      </c>
      <c r="J602" s="1">
        <v>1300</v>
      </c>
    </row>
    <row r="603" spans="1:10" x14ac:dyDescent="0.3">
      <c r="A603" t="s">
        <v>120</v>
      </c>
      <c r="B603" t="s">
        <v>12</v>
      </c>
      <c r="C603" t="s">
        <v>193</v>
      </c>
      <c r="D603" t="s">
        <v>74</v>
      </c>
      <c r="E603">
        <v>86</v>
      </c>
      <c r="F603">
        <v>42</v>
      </c>
      <c r="G603" s="1">
        <v>4800</v>
      </c>
      <c r="H603" s="1">
        <v>4800</v>
      </c>
      <c r="I603" s="1">
        <v>10560</v>
      </c>
      <c r="J603" s="1">
        <v>2200</v>
      </c>
    </row>
    <row r="604" spans="1:10" x14ac:dyDescent="0.3">
      <c r="A604" t="s">
        <v>120</v>
      </c>
      <c r="B604" t="s">
        <v>9</v>
      </c>
      <c r="C604" t="s">
        <v>193</v>
      </c>
      <c r="D604" t="s">
        <v>74</v>
      </c>
      <c r="E604">
        <v>86</v>
      </c>
      <c r="F604">
        <v>42</v>
      </c>
      <c r="G604" s="1">
        <v>34500</v>
      </c>
      <c r="H604" s="1">
        <v>34500</v>
      </c>
      <c r="I604" s="1">
        <v>79350</v>
      </c>
      <c r="J604" s="1">
        <v>2300</v>
      </c>
    </row>
    <row r="605" spans="1:10" x14ac:dyDescent="0.3">
      <c r="A605" t="s">
        <v>120</v>
      </c>
      <c r="B605" t="s">
        <v>8</v>
      </c>
      <c r="C605" t="s">
        <v>193</v>
      </c>
      <c r="D605" t="s">
        <v>74</v>
      </c>
      <c r="E605">
        <v>86</v>
      </c>
      <c r="F605">
        <v>42</v>
      </c>
      <c r="G605" s="1">
        <v>28497</v>
      </c>
      <c r="H605" s="1">
        <v>28497</v>
      </c>
      <c r="I605" s="1">
        <v>68393</v>
      </c>
      <c r="J605" s="1">
        <v>2400</v>
      </c>
    </row>
    <row r="606" spans="1:10" x14ac:dyDescent="0.3">
      <c r="A606" t="s">
        <v>120</v>
      </c>
      <c r="B606" t="s">
        <v>7</v>
      </c>
      <c r="C606" t="s">
        <v>193</v>
      </c>
      <c r="D606" t="s">
        <v>74</v>
      </c>
      <c r="E606">
        <v>86</v>
      </c>
      <c r="F606">
        <v>42</v>
      </c>
      <c r="G606" s="1">
        <v>13300</v>
      </c>
      <c r="H606" s="1">
        <v>13300</v>
      </c>
      <c r="I606" s="1">
        <v>18620</v>
      </c>
      <c r="J606" s="1">
        <v>1400</v>
      </c>
    </row>
    <row r="607" spans="1:10" x14ac:dyDescent="0.3">
      <c r="A607" t="s">
        <v>120</v>
      </c>
      <c r="B607" t="s">
        <v>6</v>
      </c>
      <c r="C607" t="s">
        <v>193</v>
      </c>
      <c r="D607" t="s">
        <v>74</v>
      </c>
      <c r="E607">
        <v>86</v>
      </c>
      <c r="F607">
        <v>42</v>
      </c>
      <c r="G607" s="1">
        <v>6150</v>
      </c>
      <c r="H607" s="1">
        <v>6150</v>
      </c>
      <c r="I607" s="1">
        <v>10455</v>
      </c>
      <c r="J607" s="1">
        <v>1700</v>
      </c>
    </row>
    <row r="608" spans="1:10" x14ac:dyDescent="0.3">
      <c r="A608" t="s">
        <v>120</v>
      </c>
      <c r="B608" t="s">
        <v>5</v>
      </c>
      <c r="C608" t="s">
        <v>193</v>
      </c>
      <c r="D608" t="s">
        <v>74</v>
      </c>
      <c r="E608">
        <v>86</v>
      </c>
      <c r="F608">
        <v>42</v>
      </c>
      <c r="G608" s="1">
        <v>22500</v>
      </c>
      <c r="H608" s="1">
        <v>22500</v>
      </c>
      <c r="I608" s="1">
        <v>27000</v>
      </c>
      <c r="J608" s="1">
        <v>1200</v>
      </c>
    </row>
    <row r="609" spans="1:10" x14ac:dyDescent="0.3">
      <c r="A609" t="s">
        <v>120</v>
      </c>
      <c r="B609" t="s">
        <v>4</v>
      </c>
      <c r="C609" t="s">
        <v>193</v>
      </c>
      <c r="D609" t="s">
        <v>74</v>
      </c>
      <c r="E609">
        <v>86</v>
      </c>
      <c r="F609">
        <v>42</v>
      </c>
      <c r="G609" s="1">
        <v>3250</v>
      </c>
      <c r="H609" s="1">
        <v>3250</v>
      </c>
      <c r="I609" s="1">
        <v>4875</v>
      </c>
      <c r="J609" s="1">
        <v>1500</v>
      </c>
    </row>
    <row r="610" spans="1:10" x14ac:dyDescent="0.3">
      <c r="A610" t="s">
        <v>120</v>
      </c>
      <c r="B610" t="s">
        <v>3</v>
      </c>
      <c r="C610" t="s">
        <v>193</v>
      </c>
      <c r="D610" t="s">
        <v>74</v>
      </c>
      <c r="E610">
        <v>86</v>
      </c>
      <c r="F610">
        <v>42</v>
      </c>
      <c r="G610" s="1">
        <v>10600</v>
      </c>
      <c r="H610" s="1">
        <v>10600</v>
      </c>
      <c r="I610" s="1">
        <v>20140</v>
      </c>
      <c r="J610" s="1">
        <v>1900</v>
      </c>
    </row>
    <row r="611" spans="1:10" x14ac:dyDescent="0.3">
      <c r="A611" t="s">
        <v>120</v>
      </c>
      <c r="B611" t="s">
        <v>5</v>
      </c>
      <c r="C611" t="s">
        <v>193</v>
      </c>
      <c r="D611" t="s">
        <v>41</v>
      </c>
      <c r="E611">
        <v>86</v>
      </c>
      <c r="F611">
        <v>49</v>
      </c>
      <c r="G611" s="1">
        <v>200</v>
      </c>
      <c r="H611" s="1">
        <v>200</v>
      </c>
      <c r="I611" s="1">
        <v>240</v>
      </c>
      <c r="J611" s="1">
        <v>1200</v>
      </c>
    </row>
    <row r="612" spans="1:10" x14ac:dyDescent="0.3">
      <c r="A612" t="s">
        <v>120</v>
      </c>
      <c r="B612" t="s">
        <v>4</v>
      </c>
      <c r="C612" t="s">
        <v>193</v>
      </c>
      <c r="D612" t="s">
        <v>41</v>
      </c>
      <c r="E612">
        <v>86</v>
      </c>
      <c r="F612">
        <v>49</v>
      </c>
      <c r="G612" s="1">
        <v>200</v>
      </c>
      <c r="H612" s="1">
        <v>200</v>
      </c>
      <c r="I612" s="1">
        <v>500</v>
      </c>
      <c r="J612" s="1">
        <v>2500</v>
      </c>
    </row>
    <row r="613" spans="1:10" x14ac:dyDescent="0.3">
      <c r="A613" t="s">
        <v>120</v>
      </c>
      <c r="B613" t="s">
        <v>3</v>
      </c>
      <c r="C613" t="s">
        <v>193</v>
      </c>
      <c r="D613" t="s">
        <v>41</v>
      </c>
      <c r="E613">
        <v>86</v>
      </c>
      <c r="F613">
        <v>49</v>
      </c>
      <c r="G613" s="1">
        <v>300</v>
      </c>
      <c r="H613" s="1">
        <v>290</v>
      </c>
      <c r="I613" s="1">
        <v>725</v>
      </c>
      <c r="J613" s="1">
        <v>2500</v>
      </c>
    </row>
    <row r="614" spans="1:10" x14ac:dyDescent="0.3">
      <c r="A614" t="s">
        <v>120</v>
      </c>
      <c r="B614" t="s">
        <v>8</v>
      </c>
      <c r="C614" t="s">
        <v>193</v>
      </c>
      <c r="D614" t="s">
        <v>48</v>
      </c>
      <c r="E614">
        <v>86</v>
      </c>
      <c r="F614">
        <v>63</v>
      </c>
      <c r="G614" s="1">
        <v>200</v>
      </c>
      <c r="H614" s="1">
        <v>200</v>
      </c>
      <c r="I614" s="1">
        <v>360</v>
      </c>
      <c r="J614" s="1">
        <v>1800</v>
      </c>
    </row>
    <row r="615" spans="1:10" x14ac:dyDescent="0.3">
      <c r="A615" t="s">
        <v>120</v>
      </c>
      <c r="B615" t="s">
        <v>7</v>
      </c>
      <c r="C615" t="s">
        <v>193</v>
      </c>
      <c r="D615" t="s">
        <v>48</v>
      </c>
      <c r="E615">
        <v>86</v>
      </c>
      <c r="F615">
        <v>63</v>
      </c>
      <c r="G615" s="1">
        <v>200</v>
      </c>
      <c r="H615" s="1">
        <v>200</v>
      </c>
      <c r="I615" s="1">
        <v>300</v>
      </c>
      <c r="J615" s="1">
        <v>1500</v>
      </c>
    </row>
    <row r="616" spans="1:10" x14ac:dyDescent="0.3">
      <c r="A616" t="s">
        <v>120</v>
      </c>
      <c r="B616" t="s">
        <v>6</v>
      </c>
      <c r="C616" t="s">
        <v>193</v>
      </c>
      <c r="D616" t="s">
        <v>48</v>
      </c>
      <c r="E616">
        <v>86</v>
      </c>
      <c r="F616">
        <v>63</v>
      </c>
      <c r="G616" s="1">
        <v>200</v>
      </c>
      <c r="H616" s="1">
        <v>200</v>
      </c>
      <c r="I616" s="1">
        <v>240</v>
      </c>
      <c r="J616" s="1">
        <v>1200</v>
      </c>
    </row>
    <row r="617" spans="1:10" x14ac:dyDescent="0.3">
      <c r="A617" t="s">
        <v>120</v>
      </c>
      <c r="B617" t="s">
        <v>5</v>
      </c>
      <c r="C617" t="s">
        <v>193</v>
      </c>
      <c r="D617" t="s">
        <v>48</v>
      </c>
      <c r="E617">
        <v>86</v>
      </c>
      <c r="F617">
        <v>63</v>
      </c>
      <c r="G617" s="1">
        <v>250</v>
      </c>
      <c r="H617" s="1">
        <v>250</v>
      </c>
      <c r="I617" s="1">
        <v>375</v>
      </c>
      <c r="J617" s="1">
        <v>1500</v>
      </c>
    </row>
    <row r="618" spans="1:10" x14ac:dyDescent="0.3">
      <c r="A618" t="s">
        <v>120</v>
      </c>
      <c r="B618" t="s">
        <v>4</v>
      </c>
      <c r="C618" t="s">
        <v>193</v>
      </c>
      <c r="D618" t="s">
        <v>48</v>
      </c>
      <c r="E618">
        <v>86</v>
      </c>
      <c r="F618">
        <v>63</v>
      </c>
      <c r="G618" s="1">
        <v>250</v>
      </c>
      <c r="H618" s="1">
        <v>250</v>
      </c>
      <c r="I618" s="1">
        <v>625</v>
      </c>
      <c r="J618" s="1">
        <v>2500</v>
      </c>
    </row>
    <row r="619" spans="1:10" x14ac:dyDescent="0.3">
      <c r="A619" t="s">
        <v>120</v>
      </c>
      <c r="B619" t="s">
        <v>3</v>
      </c>
      <c r="C619" t="s">
        <v>193</v>
      </c>
      <c r="D619" t="s">
        <v>48</v>
      </c>
      <c r="E619">
        <v>86</v>
      </c>
      <c r="F619">
        <v>63</v>
      </c>
      <c r="G619" s="1">
        <v>1500</v>
      </c>
      <c r="H619" s="1">
        <v>1425</v>
      </c>
      <c r="I619" s="1">
        <v>3605</v>
      </c>
      <c r="J619" s="1">
        <v>2530</v>
      </c>
    </row>
    <row r="620" spans="1:10" x14ac:dyDescent="0.3">
      <c r="A620" t="s">
        <v>120</v>
      </c>
      <c r="B620" t="s">
        <v>18</v>
      </c>
      <c r="C620" t="s">
        <v>193</v>
      </c>
      <c r="D620" t="s">
        <v>51</v>
      </c>
      <c r="E620">
        <v>86</v>
      </c>
      <c r="F620">
        <v>56</v>
      </c>
      <c r="G620" s="1">
        <v>4200</v>
      </c>
      <c r="H620" s="1">
        <v>3750</v>
      </c>
      <c r="I620" s="1">
        <v>6000</v>
      </c>
      <c r="J620" s="1">
        <v>1600</v>
      </c>
    </row>
    <row r="621" spans="1:10" x14ac:dyDescent="0.3">
      <c r="A621" t="s">
        <v>120</v>
      </c>
      <c r="B621" t="s">
        <v>17</v>
      </c>
      <c r="C621" t="s">
        <v>193</v>
      </c>
      <c r="D621" t="s">
        <v>51</v>
      </c>
      <c r="E621">
        <v>86</v>
      </c>
      <c r="F621">
        <v>56</v>
      </c>
      <c r="G621" s="1">
        <v>300</v>
      </c>
      <c r="H621" s="1">
        <v>300</v>
      </c>
      <c r="I621" s="1">
        <v>510</v>
      </c>
      <c r="J621" s="1">
        <v>1700</v>
      </c>
    </row>
    <row r="622" spans="1:10" x14ac:dyDescent="0.3">
      <c r="A622" t="s">
        <v>120</v>
      </c>
      <c r="B622" t="s">
        <v>14</v>
      </c>
      <c r="C622" t="s">
        <v>193</v>
      </c>
      <c r="D622" t="s">
        <v>51</v>
      </c>
      <c r="E622">
        <v>86</v>
      </c>
      <c r="F622">
        <v>56</v>
      </c>
      <c r="G622" s="1">
        <v>300</v>
      </c>
      <c r="H622" s="1">
        <v>300</v>
      </c>
      <c r="I622" s="1">
        <v>480</v>
      </c>
      <c r="J622" s="1">
        <v>1600</v>
      </c>
    </row>
    <row r="623" spans="1:10" x14ac:dyDescent="0.3">
      <c r="A623" t="s">
        <v>120</v>
      </c>
      <c r="B623" t="s">
        <v>12</v>
      </c>
      <c r="C623" t="s">
        <v>193</v>
      </c>
      <c r="D623" t="s">
        <v>51</v>
      </c>
      <c r="E623">
        <v>86</v>
      </c>
      <c r="F623">
        <v>56</v>
      </c>
      <c r="G623" s="1">
        <v>300</v>
      </c>
      <c r="H623" s="1">
        <v>300</v>
      </c>
      <c r="I623" s="1">
        <v>420</v>
      </c>
      <c r="J623" s="1">
        <v>1400</v>
      </c>
    </row>
    <row r="624" spans="1:10" x14ac:dyDescent="0.3">
      <c r="A624" t="s">
        <v>120</v>
      </c>
      <c r="B624" t="s">
        <v>5</v>
      </c>
      <c r="C624" t="s">
        <v>193</v>
      </c>
      <c r="D624" t="s">
        <v>51</v>
      </c>
      <c r="E624">
        <v>86</v>
      </c>
      <c r="F624">
        <v>56</v>
      </c>
      <c r="G624" s="1">
        <v>1500</v>
      </c>
      <c r="H624" s="1">
        <v>1500</v>
      </c>
      <c r="I624" s="1">
        <v>1050</v>
      </c>
      <c r="J624" s="1">
        <v>700</v>
      </c>
    </row>
    <row r="625" spans="1:10" x14ac:dyDescent="0.3">
      <c r="A625" t="s">
        <v>120</v>
      </c>
      <c r="B625" t="s">
        <v>5</v>
      </c>
      <c r="C625" t="s">
        <v>193</v>
      </c>
      <c r="D625" t="s">
        <v>38</v>
      </c>
      <c r="E625">
        <v>86</v>
      </c>
      <c r="F625">
        <v>70</v>
      </c>
      <c r="G625" s="1">
        <v>500</v>
      </c>
      <c r="H625" s="1">
        <v>500</v>
      </c>
      <c r="I625" s="1">
        <v>750</v>
      </c>
      <c r="J625" s="1">
        <v>1500</v>
      </c>
    </row>
    <row r="626" spans="1:10" x14ac:dyDescent="0.3">
      <c r="A626" t="s">
        <v>120</v>
      </c>
      <c r="B626" t="s">
        <v>4</v>
      </c>
      <c r="C626" t="s">
        <v>193</v>
      </c>
      <c r="D626" t="s">
        <v>38</v>
      </c>
      <c r="E626">
        <v>86</v>
      </c>
      <c r="F626">
        <v>70</v>
      </c>
      <c r="G626" s="1">
        <v>400</v>
      </c>
      <c r="H626" s="1">
        <v>400</v>
      </c>
      <c r="I626" s="1">
        <v>1000</v>
      </c>
      <c r="J626" s="1">
        <v>2500</v>
      </c>
    </row>
    <row r="627" spans="1:10" x14ac:dyDescent="0.3">
      <c r="A627" t="s">
        <v>120</v>
      </c>
      <c r="B627" t="s">
        <v>3</v>
      </c>
      <c r="C627" t="s">
        <v>193</v>
      </c>
      <c r="D627" t="s">
        <v>38</v>
      </c>
      <c r="E627">
        <v>86</v>
      </c>
      <c r="F627">
        <v>70</v>
      </c>
      <c r="G627" s="1">
        <v>700</v>
      </c>
      <c r="H627" s="1">
        <v>660</v>
      </c>
      <c r="I627" s="1">
        <v>1663</v>
      </c>
      <c r="J627" s="1">
        <v>2520</v>
      </c>
    </row>
    <row r="628" spans="1:10" x14ac:dyDescent="0.3">
      <c r="A628" t="s">
        <v>120</v>
      </c>
      <c r="B628" t="s">
        <v>18</v>
      </c>
      <c r="C628" t="s">
        <v>193</v>
      </c>
      <c r="D628" t="s">
        <v>75</v>
      </c>
      <c r="E628">
        <v>86</v>
      </c>
      <c r="F628">
        <v>77</v>
      </c>
      <c r="G628" s="1">
        <v>2100</v>
      </c>
      <c r="H628" s="1">
        <v>1890</v>
      </c>
      <c r="I628" s="1">
        <v>3120</v>
      </c>
      <c r="J628" s="1">
        <v>1651</v>
      </c>
    </row>
    <row r="629" spans="1:10" x14ac:dyDescent="0.3">
      <c r="A629" t="s">
        <v>120</v>
      </c>
      <c r="B629" t="s">
        <v>17</v>
      </c>
      <c r="C629" t="s">
        <v>193</v>
      </c>
      <c r="D629" t="s">
        <v>75</v>
      </c>
      <c r="E629">
        <v>86</v>
      </c>
      <c r="F629">
        <v>77</v>
      </c>
      <c r="G629" s="1">
        <v>1000</v>
      </c>
      <c r="H629" s="1">
        <v>1000</v>
      </c>
      <c r="I629" s="1">
        <v>2000</v>
      </c>
      <c r="J629" s="1">
        <v>2000</v>
      </c>
    </row>
    <row r="630" spans="1:10" x14ac:dyDescent="0.3">
      <c r="A630" t="s">
        <v>120</v>
      </c>
      <c r="B630" t="s">
        <v>14</v>
      </c>
      <c r="C630" t="s">
        <v>193</v>
      </c>
      <c r="D630" t="s">
        <v>75</v>
      </c>
      <c r="E630">
        <v>86</v>
      </c>
      <c r="F630">
        <v>77</v>
      </c>
      <c r="G630" s="1">
        <v>16000</v>
      </c>
      <c r="H630" s="1">
        <v>16000</v>
      </c>
      <c r="I630" s="1">
        <v>30400</v>
      </c>
      <c r="J630" s="1">
        <v>1900</v>
      </c>
    </row>
    <row r="631" spans="1:10" x14ac:dyDescent="0.3">
      <c r="A631" t="s">
        <v>120</v>
      </c>
      <c r="B631" t="s">
        <v>12</v>
      </c>
      <c r="C631" t="s">
        <v>193</v>
      </c>
      <c r="D631" t="s">
        <v>75</v>
      </c>
      <c r="E631">
        <v>86</v>
      </c>
      <c r="F631">
        <v>77</v>
      </c>
      <c r="G631" s="1">
        <v>6500</v>
      </c>
      <c r="H631" s="1">
        <v>6500</v>
      </c>
      <c r="I631" s="1">
        <v>14300</v>
      </c>
      <c r="J631" s="1">
        <v>2200</v>
      </c>
    </row>
    <row r="632" spans="1:10" x14ac:dyDescent="0.3">
      <c r="A632" t="s">
        <v>120</v>
      </c>
      <c r="B632" t="s">
        <v>9</v>
      </c>
      <c r="C632" t="s">
        <v>193</v>
      </c>
      <c r="D632" t="s">
        <v>75</v>
      </c>
      <c r="E632">
        <v>86</v>
      </c>
      <c r="F632">
        <v>77</v>
      </c>
      <c r="G632" s="1">
        <v>33500</v>
      </c>
      <c r="H632" s="1">
        <v>33430</v>
      </c>
      <c r="I632" s="1">
        <v>83575</v>
      </c>
      <c r="J632" s="1">
        <v>2500</v>
      </c>
    </row>
    <row r="633" spans="1:10" x14ac:dyDescent="0.3">
      <c r="A633" t="s">
        <v>120</v>
      </c>
      <c r="B633" t="s">
        <v>8</v>
      </c>
      <c r="C633" t="s">
        <v>193</v>
      </c>
      <c r="D633" t="s">
        <v>75</v>
      </c>
      <c r="E633">
        <v>86</v>
      </c>
      <c r="F633">
        <v>77</v>
      </c>
      <c r="G633" s="1">
        <v>6142</v>
      </c>
      <c r="H633" s="1">
        <v>6142</v>
      </c>
      <c r="I633" s="1">
        <v>14127</v>
      </c>
      <c r="J633" s="1">
        <v>2300</v>
      </c>
    </row>
    <row r="634" spans="1:10" x14ac:dyDescent="0.3">
      <c r="A634" t="s">
        <v>120</v>
      </c>
      <c r="B634" t="s">
        <v>7</v>
      </c>
      <c r="C634" t="s">
        <v>193</v>
      </c>
      <c r="D634" t="s">
        <v>75</v>
      </c>
      <c r="E634">
        <v>86</v>
      </c>
      <c r="F634">
        <v>77</v>
      </c>
      <c r="G634" s="1">
        <v>9100</v>
      </c>
      <c r="H634" s="1">
        <v>9100</v>
      </c>
      <c r="I634" s="1">
        <v>13650</v>
      </c>
      <c r="J634" s="1">
        <v>1500</v>
      </c>
    </row>
    <row r="635" spans="1:10" x14ac:dyDescent="0.3">
      <c r="A635" t="s">
        <v>120</v>
      </c>
      <c r="B635" t="s">
        <v>6</v>
      </c>
      <c r="C635" t="s">
        <v>193</v>
      </c>
      <c r="D635" t="s">
        <v>75</v>
      </c>
      <c r="E635">
        <v>86</v>
      </c>
      <c r="F635">
        <v>77</v>
      </c>
      <c r="G635" s="1">
        <v>8400</v>
      </c>
      <c r="H635" s="1">
        <v>8400</v>
      </c>
      <c r="I635" s="1">
        <v>14994</v>
      </c>
      <c r="J635" s="1">
        <v>1785</v>
      </c>
    </row>
    <row r="636" spans="1:10" x14ac:dyDescent="0.3">
      <c r="A636" t="s">
        <v>120</v>
      </c>
      <c r="B636" t="s">
        <v>5</v>
      </c>
      <c r="C636" t="s">
        <v>193</v>
      </c>
      <c r="D636" t="s">
        <v>75</v>
      </c>
      <c r="E636">
        <v>86</v>
      </c>
      <c r="F636">
        <v>77</v>
      </c>
      <c r="G636" s="1">
        <v>10700</v>
      </c>
      <c r="H636" s="1">
        <v>10700</v>
      </c>
      <c r="I636" s="1">
        <v>12840</v>
      </c>
      <c r="J636" s="1">
        <v>1200</v>
      </c>
    </row>
    <row r="637" spans="1:10" x14ac:dyDescent="0.3">
      <c r="A637" t="s">
        <v>120</v>
      </c>
      <c r="B637" t="s">
        <v>4</v>
      </c>
      <c r="C637" t="s">
        <v>193</v>
      </c>
      <c r="D637" t="s">
        <v>75</v>
      </c>
      <c r="E637">
        <v>86</v>
      </c>
      <c r="F637">
        <v>77</v>
      </c>
      <c r="G637" s="1">
        <v>2180</v>
      </c>
      <c r="H637" s="1">
        <v>2180</v>
      </c>
      <c r="I637" s="1">
        <v>3270</v>
      </c>
      <c r="J637" s="1">
        <v>1500</v>
      </c>
    </row>
    <row r="638" spans="1:10" x14ac:dyDescent="0.3">
      <c r="A638" t="s">
        <v>120</v>
      </c>
      <c r="B638" t="s">
        <v>3</v>
      </c>
      <c r="C638" t="s">
        <v>193</v>
      </c>
      <c r="D638" t="s">
        <v>75</v>
      </c>
      <c r="E638">
        <v>86</v>
      </c>
      <c r="F638">
        <v>77</v>
      </c>
      <c r="G638" s="1">
        <v>5540</v>
      </c>
      <c r="H638" s="1">
        <v>5540</v>
      </c>
      <c r="I638" s="1">
        <v>9972</v>
      </c>
      <c r="J638" s="1">
        <v>1800</v>
      </c>
    </row>
    <row r="639" spans="1:10" x14ac:dyDescent="0.3">
      <c r="A639" t="s">
        <v>120</v>
      </c>
      <c r="B639" t="s">
        <v>8</v>
      </c>
      <c r="C639" t="s">
        <v>193</v>
      </c>
      <c r="D639" t="s">
        <v>54</v>
      </c>
      <c r="E639">
        <v>86</v>
      </c>
      <c r="F639">
        <v>84</v>
      </c>
      <c r="G639" s="1">
        <v>100</v>
      </c>
      <c r="H639" s="1">
        <v>100</v>
      </c>
      <c r="I639" s="1">
        <v>170</v>
      </c>
      <c r="J639" s="1">
        <v>1700</v>
      </c>
    </row>
    <row r="640" spans="1:10" x14ac:dyDescent="0.3">
      <c r="A640" t="s">
        <v>120</v>
      </c>
      <c r="B640" t="s">
        <v>7</v>
      </c>
      <c r="C640" t="s">
        <v>193</v>
      </c>
      <c r="D640" t="s">
        <v>54</v>
      </c>
      <c r="E640">
        <v>86</v>
      </c>
      <c r="F640">
        <v>84</v>
      </c>
      <c r="G640" s="1">
        <v>200</v>
      </c>
      <c r="H640" s="1">
        <v>200</v>
      </c>
      <c r="I640" s="1">
        <v>500</v>
      </c>
      <c r="J640" s="1">
        <v>2500</v>
      </c>
    </row>
    <row r="641" spans="1:10" x14ac:dyDescent="0.3">
      <c r="A641" t="s">
        <v>120</v>
      </c>
      <c r="B641" t="s">
        <v>6</v>
      </c>
      <c r="C641" t="s">
        <v>193</v>
      </c>
      <c r="D641" t="s">
        <v>54</v>
      </c>
      <c r="E641">
        <v>86</v>
      </c>
      <c r="F641">
        <v>84</v>
      </c>
      <c r="G641" s="1">
        <v>200</v>
      </c>
      <c r="H641" s="1">
        <v>200</v>
      </c>
      <c r="I641" s="1">
        <v>240</v>
      </c>
      <c r="J641" s="1">
        <v>1200</v>
      </c>
    </row>
    <row r="642" spans="1:10" x14ac:dyDescent="0.3">
      <c r="A642" t="s">
        <v>120</v>
      </c>
      <c r="B642" t="s">
        <v>5</v>
      </c>
      <c r="C642" t="s">
        <v>193</v>
      </c>
      <c r="D642" t="s">
        <v>54</v>
      </c>
      <c r="E642">
        <v>86</v>
      </c>
      <c r="F642">
        <v>84</v>
      </c>
      <c r="G642" s="1">
        <v>550</v>
      </c>
      <c r="H642" s="1">
        <v>550</v>
      </c>
      <c r="I642" s="1">
        <v>825</v>
      </c>
      <c r="J642" s="1">
        <v>1500</v>
      </c>
    </row>
    <row r="643" spans="1:10" x14ac:dyDescent="0.3">
      <c r="A643" t="s">
        <v>120</v>
      </c>
      <c r="B643" t="s">
        <v>4</v>
      </c>
      <c r="C643" t="s">
        <v>193</v>
      </c>
      <c r="D643" t="s">
        <v>54</v>
      </c>
      <c r="E643">
        <v>86</v>
      </c>
      <c r="F643">
        <v>84</v>
      </c>
      <c r="G643" s="1">
        <v>550</v>
      </c>
      <c r="H643" s="1">
        <v>550</v>
      </c>
      <c r="I643" s="1">
        <v>1375</v>
      </c>
      <c r="J643" s="1">
        <v>2500</v>
      </c>
    </row>
    <row r="644" spans="1:10" x14ac:dyDescent="0.3">
      <c r="A644" t="s">
        <v>120</v>
      </c>
      <c r="B644" t="s">
        <v>3</v>
      </c>
      <c r="C644" t="s">
        <v>193</v>
      </c>
      <c r="D644" t="s">
        <v>54</v>
      </c>
      <c r="E644">
        <v>86</v>
      </c>
      <c r="F644">
        <v>84</v>
      </c>
      <c r="G644" s="1">
        <v>550</v>
      </c>
      <c r="H644" s="1">
        <v>535</v>
      </c>
      <c r="I644" s="1">
        <v>1284</v>
      </c>
      <c r="J644" s="1">
        <v>2400</v>
      </c>
    </row>
    <row r="645" spans="1:10" x14ac:dyDescent="0.3">
      <c r="A645" t="s">
        <v>120</v>
      </c>
      <c r="B645" t="s">
        <v>5</v>
      </c>
      <c r="C645" t="s">
        <v>193</v>
      </c>
      <c r="D645" t="s">
        <v>70</v>
      </c>
      <c r="E645">
        <v>86</v>
      </c>
      <c r="F645">
        <v>91</v>
      </c>
      <c r="G645" s="1">
        <v>650</v>
      </c>
      <c r="H645" s="1">
        <v>650</v>
      </c>
      <c r="I645" s="1">
        <v>975</v>
      </c>
      <c r="J645" s="1">
        <v>1500</v>
      </c>
    </row>
    <row r="646" spans="1:10" x14ac:dyDescent="0.3">
      <c r="A646" t="s">
        <v>120</v>
      </c>
      <c r="B646" t="s">
        <v>4</v>
      </c>
      <c r="C646" t="s">
        <v>193</v>
      </c>
      <c r="D646" t="s">
        <v>70</v>
      </c>
      <c r="E646">
        <v>86</v>
      </c>
      <c r="F646">
        <v>91</v>
      </c>
      <c r="G646" s="1">
        <v>650</v>
      </c>
      <c r="H646" s="1">
        <v>650</v>
      </c>
      <c r="I646" s="1">
        <v>1625</v>
      </c>
      <c r="J646" s="1">
        <v>2500</v>
      </c>
    </row>
    <row r="647" spans="1:10" x14ac:dyDescent="0.3">
      <c r="A647" t="s">
        <v>120</v>
      </c>
      <c r="B647" t="s">
        <v>3</v>
      </c>
      <c r="C647" t="s">
        <v>193</v>
      </c>
      <c r="D647" t="s">
        <v>70</v>
      </c>
      <c r="E647">
        <v>86</v>
      </c>
      <c r="F647">
        <v>91</v>
      </c>
      <c r="G647" s="1">
        <v>650</v>
      </c>
      <c r="H647" s="1">
        <v>600</v>
      </c>
      <c r="I647" s="1">
        <v>1500</v>
      </c>
      <c r="J647" s="1">
        <v>2500</v>
      </c>
    </row>
    <row r="648" spans="1:10" x14ac:dyDescent="0.3">
      <c r="A648" t="s">
        <v>120</v>
      </c>
      <c r="B648" t="s">
        <v>18</v>
      </c>
      <c r="C648" t="s">
        <v>193</v>
      </c>
      <c r="D648" t="s">
        <v>69</v>
      </c>
      <c r="E648">
        <v>86</v>
      </c>
      <c r="F648">
        <v>98</v>
      </c>
      <c r="G648" s="1">
        <v>1000</v>
      </c>
      <c r="H648" s="1">
        <v>900</v>
      </c>
      <c r="I648" s="1">
        <v>1530</v>
      </c>
      <c r="J648" s="1">
        <v>1700</v>
      </c>
    </row>
    <row r="649" spans="1:10" x14ac:dyDescent="0.3">
      <c r="A649" t="s">
        <v>120</v>
      </c>
      <c r="B649" t="s">
        <v>17</v>
      </c>
      <c r="C649" t="s">
        <v>193</v>
      </c>
      <c r="D649" t="s">
        <v>69</v>
      </c>
      <c r="E649">
        <v>86</v>
      </c>
      <c r="F649">
        <v>98</v>
      </c>
      <c r="G649" s="1">
        <v>400</v>
      </c>
      <c r="H649" s="1">
        <v>400</v>
      </c>
      <c r="I649" s="1">
        <v>680</v>
      </c>
      <c r="J649" s="1">
        <v>1700</v>
      </c>
    </row>
    <row r="650" spans="1:10" x14ac:dyDescent="0.3">
      <c r="A650" t="s">
        <v>120</v>
      </c>
      <c r="B650" t="s">
        <v>14</v>
      </c>
      <c r="C650" t="s">
        <v>193</v>
      </c>
      <c r="D650" t="s">
        <v>69</v>
      </c>
      <c r="E650">
        <v>86</v>
      </c>
      <c r="F650">
        <v>98</v>
      </c>
      <c r="G650" s="1">
        <v>4000</v>
      </c>
      <c r="H650" s="1">
        <v>4000</v>
      </c>
      <c r="I650" s="1">
        <v>6000</v>
      </c>
      <c r="J650" s="1">
        <v>1500</v>
      </c>
    </row>
    <row r="651" spans="1:10" x14ac:dyDescent="0.3">
      <c r="A651" t="s">
        <v>120</v>
      </c>
      <c r="B651" t="s">
        <v>12</v>
      </c>
      <c r="C651" t="s">
        <v>193</v>
      </c>
      <c r="D651" t="s">
        <v>69</v>
      </c>
      <c r="E651">
        <v>86</v>
      </c>
      <c r="F651">
        <v>98</v>
      </c>
      <c r="G651" s="1">
        <v>2500</v>
      </c>
      <c r="H651" s="1">
        <v>2500</v>
      </c>
      <c r="I651" s="1">
        <v>3750</v>
      </c>
      <c r="J651" s="1">
        <v>1500</v>
      </c>
    </row>
    <row r="652" spans="1:10" x14ac:dyDescent="0.3">
      <c r="A652" t="s">
        <v>120</v>
      </c>
      <c r="B652" t="s">
        <v>9</v>
      </c>
      <c r="C652" t="s">
        <v>193</v>
      </c>
      <c r="D652" t="s">
        <v>69</v>
      </c>
      <c r="E652">
        <v>86</v>
      </c>
      <c r="F652">
        <v>98</v>
      </c>
      <c r="G652" s="1">
        <v>500</v>
      </c>
      <c r="H652" s="1">
        <v>500</v>
      </c>
      <c r="I652" s="1">
        <v>800</v>
      </c>
      <c r="J652" s="1">
        <v>1600</v>
      </c>
    </row>
    <row r="653" spans="1:10" x14ac:dyDescent="0.3">
      <c r="A653" t="s">
        <v>120</v>
      </c>
      <c r="B653" t="s">
        <v>8</v>
      </c>
      <c r="C653" t="s">
        <v>193</v>
      </c>
      <c r="D653" t="s">
        <v>69</v>
      </c>
      <c r="E653">
        <v>86</v>
      </c>
      <c r="F653">
        <v>98</v>
      </c>
      <c r="G653" s="1">
        <v>2453</v>
      </c>
      <c r="H653" s="1">
        <v>2453</v>
      </c>
      <c r="I653" s="1">
        <v>4415</v>
      </c>
      <c r="J653" s="1">
        <v>1800</v>
      </c>
    </row>
    <row r="654" spans="1:10" x14ac:dyDescent="0.3">
      <c r="A654" t="s">
        <v>120</v>
      </c>
      <c r="B654" t="s">
        <v>7</v>
      </c>
      <c r="C654" t="s">
        <v>193</v>
      </c>
      <c r="D654" t="s">
        <v>69</v>
      </c>
      <c r="E654">
        <v>86</v>
      </c>
      <c r="F654">
        <v>98</v>
      </c>
      <c r="G654" s="1">
        <v>390</v>
      </c>
      <c r="H654" s="1">
        <v>390</v>
      </c>
      <c r="I654" s="1">
        <v>468</v>
      </c>
      <c r="J654" s="1">
        <v>1200</v>
      </c>
    </row>
    <row r="655" spans="1:10" x14ac:dyDescent="0.3">
      <c r="A655" t="s">
        <v>120</v>
      </c>
      <c r="B655" t="s">
        <v>6</v>
      </c>
      <c r="C655" t="s">
        <v>193</v>
      </c>
      <c r="D655" t="s">
        <v>69</v>
      </c>
      <c r="E655">
        <v>86</v>
      </c>
      <c r="F655">
        <v>98</v>
      </c>
      <c r="G655" s="1">
        <v>950</v>
      </c>
      <c r="H655" s="1">
        <v>950</v>
      </c>
      <c r="I655" s="1">
        <v>1292</v>
      </c>
      <c r="J655" s="1">
        <v>1360</v>
      </c>
    </row>
    <row r="656" spans="1:10" x14ac:dyDescent="0.3">
      <c r="A656" t="s">
        <v>120</v>
      </c>
      <c r="B656" t="s">
        <v>5</v>
      </c>
      <c r="C656" t="s">
        <v>193</v>
      </c>
      <c r="D656" t="s">
        <v>69</v>
      </c>
      <c r="E656">
        <v>86</v>
      </c>
      <c r="F656">
        <v>98</v>
      </c>
      <c r="G656" s="1">
        <v>3000</v>
      </c>
      <c r="H656" s="1">
        <v>3000</v>
      </c>
      <c r="I656" s="1">
        <v>2100</v>
      </c>
      <c r="J656" s="1">
        <v>700</v>
      </c>
    </row>
    <row r="657" spans="1:10" x14ac:dyDescent="0.3">
      <c r="A657" t="s">
        <v>120</v>
      </c>
      <c r="B657" t="s">
        <v>4</v>
      </c>
      <c r="C657" t="s">
        <v>193</v>
      </c>
      <c r="D657" t="s">
        <v>69</v>
      </c>
      <c r="E657">
        <v>86</v>
      </c>
      <c r="F657">
        <v>98</v>
      </c>
      <c r="G657" s="1">
        <v>420</v>
      </c>
      <c r="H657" s="1">
        <v>420</v>
      </c>
      <c r="I657" s="1">
        <v>672</v>
      </c>
      <c r="J657" s="1">
        <v>1600</v>
      </c>
    </row>
    <row r="658" spans="1:10" x14ac:dyDescent="0.3">
      <c r="A658" t="s">
        <v>120</v>
      </c>
      <c r="B658" t="s">
        <v>3</v>
      </c>
      <c r="C658" t="s">
        <v>193</v>
      </c>
      <c r="D658" t="s">
        <v>69</v>
      </c>
      <c r="E658">
        <v>86</v>
      </c>
      <c r="F658">
        <v>98</v>
      </c>
      <c r="G658" s="1">
        <v>450</v>
      </c>
      <c r="H658" s="1">
        <v>450</v>
      </c>
      <c r="I658" s="1">
        <v>450</v>
      </c>
      <c r="J658" s="1">
        <v>1000</v>
      </c>
    </row>
    <row r="659" spans="1:10" x14ac:dyDescent="0.3">
      <c r="A659" t="s">
        <v>120</v>
      </c>
      <c r="B659" t="s">
        <v>9</v>
      </c>
      <c r="C659" t="s">
        <v>193</v>
      </c>
      <c r="D659" t="s">
        <v>56</v>
      </c>
      <c r="E659">
        <v>86</v>
      </c>
      <c r="F659">
        <v>112</v>
      </c>
      <c r="G659" s="1">
        <v>1000</v>
      </c>
      <c r="H659" s="1">
        <v>1000</v>
      </c>
      <c r="I659" s="1">
        <v>840</v>
      </c>
      <c r="J659" s="1">
        <v>840</v>
      </c>
    </row>
    <row r="660" spans="1:10" x14ac:dyDescent="0.3">
      <c r="A660" t="s">
        <v>120</v>
      </c>
      <c r="B660" t="s">
        <v>8</v>
      </c>
      <c r="C660" t="s">
        <v>193</v>
      </c>
      <c r="D660" t="s">
        <v>56</v>
      </c>
      <c r="E660">
        <v>86</v>
      </c>
      <c r="F660">
        <v>112</v>
      </c>
      <c r="G660" s="1">
        <v>500</v>
      </c>
      <c r="H660" s="1">
        <v>500</v>
      </c>
      <c r="I660" s="1">
        <v>900</v>
      </c>
      <c r="J660" s="1">
        <v>1800</v>
      </c>
    </row>
    <row r="661" spans="1:10" x14ac:dyDescent="0.3">
      <c r="A661" t="s">
        <v>120</v>
      </c>
      <c r="B661" t="s">
        <v>7</v>
      </c>
      <c r="C661" t="s">
        <v>193</v>
      </c>
      <c r="D661" t="s">
        <v>56</v>
      </c>
      <c r="E661">
        <v>86</v>
      </c>
      <c r="F661">
        <v>112</v>
      </c>
      <c r="G661" s="1">
        <v>600</v>
      </c>
      <c r="H661" s="1">
        <v>600</v>
      </c>
      <c r="I661" s="1">
        <v>900</v>
      </c>
      <c r="J661" s="1">
        <v>1500</v>
      </c>
    </row>
    <row r="662" spans="1:10" x14ac:dyDescent="0.3">
      <c r="A662" t="s">
        <v>120</v>
      </c>
      <c r="B662" t="s">
        <v>6</v>
      </c>
      <c r="C662" t="s">
        <v>193</v>
      </c>
      <c r="D662" t="s">
        <v>56</v>
      </c>
      <c r="E662">
        <v>86</v>
      </c>
      <c r="F662">
        <v>112</v>
      </c>
      <c r="G662" s="1">
        <v>500</v>
      </c>
      <c r="H662" s="1">
        <v>500</v>
      </c>
      <c r="I662" s="1">
        <v>750</v>
      </c>
      <c r="J662" s="1">
        <v>1500</v>
      </c>
    </row>
    <row r="663" spans="1:10" x14ac:dyDescent="0.3">
      <c r="A663" t="s">
        <v>120</v>
      </c>
      <c r="B663" t="s">
        <v>18</v>
      </c>
      <c r="C663" t="s">
        <v>193</v>
      </c>
      <c r="D663" t="s">
        <v>72</v>
      </c>
      <c r="E663">
        <v>86</v>
      </c>
      <c r="F663">
        <v>119</v>
      </c>
      <c r="G663" s="1">
        <v>2700</v>
      </c>
      <c r="H663" s="1">
        <v>2400</v>
      </c>
      <c r="I663" s="1">
        <v>4080</v>
      </c>
      <c r="J663" s="1">
        <v>1700</v>
      </c>
    </row>
    <row r="664" spans="1:10" x14ac:dyDescent="0.3">
      <c r="A664" t="s">
        <v>120</v>
      </c>
      <c r="B664" t="s">
        <v>17</v>
      </c>
      <c r="C664" t="s">
        <v>193</v>
      </c>
      <c r="D664" t="s">
        <v>72</v>
      </c>
      <c r="E664">
        <v>86</v>
      </c>
      <c r="F664">
        <v>119</v>
      </c>
      <c r="G664" s="1">
        <v>1500</v>
      </c>
      <c r="H664" s="1">
        <v>1500</v>
      </c>
      <c r="I664" s="1">
        <v>2400</v>
      </c>
      <c r="J664" s="1">
        <v>1600</v>
      </c>
    </row>
    <row r="665" spans="1:10" x14ac:dyDescent="0.3">
      <c r="A665" t="s">
        <v>120</v>
      </c>
      <c r="B665" t="s">
        <v>14</v>
      </c>
      <c r="C665" t="s">
        <v>193</v>
      </c>
      <c r="D665" t="s">
        <v>72</v>
      </c>
      <c r="E665">
        <v>86</v>
      </c>
      <c r="F665">
        <v>119</v>
      </c>
      <c r="G665" s="1">
        <v>8000</v>
      </c>
      <c r="H665" s="1">
        <v>8000</v>
      </c>
      <c r="I665" s="1">
        <v>11200</v>
      </c>
      <c r="J665" s="1">
        <v>1400</v>
      </c>
    </row>
    <row r="666" spans="1:10" x14ac:dyDescent="0.3">
      <c r="A666" t="s">
        <v>120</v>
      </c>
      <c r="B666" t="s">
        <v>12</v>
      </c>
      <c r="C666" t="s">
        <v>193</v>
      </c>
      <c r="D666" t="s">
        <v>72</v>
      </c>
      <c r="E666">
        <v>86</v>
      </c>
      <c r="F666">
        <v>119</v>
      </c>
      <c r="G666" s="1">
        <v>5100</v>
      </c>
      <c r="H666" s="1">
        <v>5100</v>
      </c>
      <c r="I666" s="1">
        <v>8160</v>
      </c>
      <c r="J666" s="1">
        <v>1600</v>
      </c>
    </row>
    <row r="667" spans="1:10" x14ac:dyDescent="0.3">
      <c r="A667" t="s">
        <v>120</v>
      </c>
      <c r="B667" t="s">
        <v>9</v>
      </c>
      <c r="C667" t="s">
        <v>193</v>
      </c>
      <c r="D667" t="s">
        <v>72</v>
      </c>
      <c r="E667">
        <v>86</v>
      </c>
      <c r="F667">
        <v>119</v>
      </c>
      <c r="G667" s="1">
        <v>3266</v>
      </c>
      <c r="H667" s="1">
        <v>3266</v>
      </c>
      <c r="I667" s="1">
        <v>6859</v>
      </c>
      <c r="J667" s="1">
        <v>2100</v>
      </c>
    </row>
    <row r="668" spans="1:10" x14ac:dyDescent="0.3">
      <c r="A668" t="s">
        <v>120</v>
      </c>
      <c r="B668" t="s">
        <v>8</v>
      </c>
      <c r="C668" t="s">
        <v>193</v>
      </c>
      <c r="D668" t="s">
        <v>72</v>
      </c>
      <c r="E668">
        <v>86</v>
      </c>
      <c r="F668">
        <v>119</v>
      </c>
      <c r="G668" s="1">
        <v>5329</v>
      </c>
      <c r="H668" s="1">
        <v>5329</v>
      </c>
      <c r="I668" s="1">
        <v>10125</v>
      </c>
      <c r="J668" s="1">
        <v>1900</v>
      </c>
    </row>
    <row r="669" spans="1:10" x14ac:dyDescent="0.3">
      <c r="A669" t="s">
        <v>120</v>
      </c>
      <c r="B669" t="s">
        <v>7</v>
      </c>
      <c r="C669" t="s">
        <v>193</v>
      </c>
      <c r="D669" t="s">
        <v>72</v>
      </c>
      <c r="E669">
        <v>86</v>
      </c>
      <c r="F669">
        <v>119</v>
      </c>
      <c r="G669" s="1">
        <v>3250</v>
      </c>
      <c r="H669" s="1">
        <v>3250</v>
      </c>
      <c r="I669" s="1">
        <v>3575</v>
      </c>
      <c r="J669" s="1">
        <v>1100</v>
      </c>
    </row>
    <row r="670" spans="1:10" x14ac:dyDescent="0.3">
      <c r="A670" t="s">
        <v>120</v>
      </c>
      <c r="B670" t="s">
        <v>6</v>
      </c>
      <c r="C670" t="s">
        <v>193</v>
      </c>
      <c r="D670" t="s">
        <v>72</v>
      </c>
      <c r="E670">
        <v>86</v>
      </c>
      <c r="F670">
        <v>119</v>
      </c>
      <c r="G670" s="1">
        <v>350</v>
      </c>
      <c r="H670" s="1">
        <v>350</v>
      </c>
      <c r="I670" s="1">
        <v>387</v>
      </c>
      <c r="J670" s="1">
        <v>1106</v>
      </c>
    </row>
    <row r="671" spans="1:10" x14ac:dyDescent="0.3">
      <c r="A671" t="s">
        <v>120</v>
      </c>
      <c r="B671" t="s">
        <v>5</v>
      </c>
      <c r="C671" t="s">
        <v>193</v>
      </c>
      <c r="D671" t="s">
        <v>72</v>
      </c>
      <c r="E671">
        <v>86</v>
      </c>
      <c r="F671">
        <v>119</v>
      </c>
      <c r="G671" s="1">
        <v>1800</v>
      </c>
      <c r="H671" s="1">
        <v>1800</v>
      </c>
      <c r="I671" s="1">
        <v>1260</v>
      </c>
      <c r="J671" s="1">
        <v>700</v>
      </c>
    </row>
    <row r="672" spans="1:10" x14ac:dyDescent="0.3">
      <c r="A672" t="s">
        <v>120</v>
      </c>
      <c r="B672" t="s">
        <v>4</v>
      </c>
      <c r="C672" t="s">
        <v>193</v>
      </c>
      <c r="D672" t="s">
        <v>72</v>
      </c>
      <c r="E672">
        <v>86</v>
      </c>
      <c r="F672">
        <v>119</v>
      </c>
      <c r="G672" s="1">
        <v>1150</v>
      </c>
      <c r="H672" s="1">
        <v>1150</v>
      </c>
      <c r="I672" s="1">
        <v>1725</v>
      </c>
      <c r="J672" s="1">
        <v>1500</v>
      </c>
    </row>
    <row r="673" spans="1:10" x14ac:dyDescent="0.3">
      <c r="A673" t="s">
        <v>120</v>
      </c>
      <c r="B673" t="s">
        <v>3</v>
      </c>
      <c r="C673" t="s">
        <v>193</v>
      </c>
      <c r="D673" t="s">
        <v>72</v>
      </c>
      <c r="E673">
        <v>86</v>
      </c>
      <c r="F673">
        <v>119</v>
      </c>
      <c r="G673" s="1">
        <v>480</v>
      </c>
      <c r="H673" s="1">
        <v>480</v>
      </c>
      <c r="I673" s="1">
        <v>480</v>
      </c>
      <c r="J673" s="1">
        <v>1000</v>
      </c>
    </row>
    <row r="674" spans="1:10" x14ac:dyDescent="0.3">
      <c r="A674" t="s">
        <v>120</v>
      </c>
      <c r="B674" t="s">
        <v>8</v>
      </c>
      <c r="C674" t="s">
        <v>193</v>
      </c>
      <c r="D674" t="s">
        <v>68</v>
      </c>
      <c r="E674">
        <v>86</v>
      </c>
      <c r="F674">
        <v>133</v>
      </c>
      <c r="G674" s="1">
        <v>100</v>
      </c>
      <c r="H674" s="1">
        <v>100</v>
      </c>
      <c r="I674" s="1">
        <v>180</v>
      </c>
      <c r="J674" s="1">
        <v>1800</v>
      </c>
    </row>
    <row r="675" spans="1:10" x14ac:dyDescent="0.3">
      <c r="A675" t="s">
        <v>120</v>
      </c>
      <c r="B675" t="s">
        <v>7</v>
      </c>
      <c r="C675" t="s">
        <v>193</v>
      </c>
      <c r="D675" t="s">
        <v>68</v>
      </c>
      <c r="E675">
        <v>86</v>
      </c>
      <c r="F675">
        <v>133</v>
      </c>
      <c r="G675" s="1">
        <v>300</v>
      </c>
      <c r="H675" s="1">
        <v>300</v>
      </c>
      <c r="I675" s="1">
        <v>750</v>
      </c>
      <c r="J675" s="1">
        <v>2500</v>
      </c>
    </row>
    <row r="676" spans="1:10" x14ac:dyDescent="0.3">
      <c r="A676" t="s">
        <v>120</v>
      </c>
      <c r="B676" t="s">
        <v>6</v>
      </c>
      <c r="C676" t="s">
        <v>193</v>
      </c>
      <c r="D676" t="s">
        <v>68</v>
      </c>
      <c r="E676">
        <v>86</v>
      </c>
      <c r="F676">
        <v>133</v>
      </c>
      <c r="G676" s="1">
        <v>300</v>
      </c>
      <c r="H676" s="1">
        <v>300</v>
      </c>
      <c r="I676" s="1">
        <v>450</v>
      </c>
      <c r="J676" s="1">
        <v>1500</v>
      </c>
    </row>
    <row r="677" spans="1:10" x14ac:dyDescent="0.3">
      <c r="A677" t="s">
        <v>120</v>
      </c>
      <c r="B677" t="s">
        <v>5</v>
      </c>
      <c r="C677" t="s">
        <v>193</v>
      </c>
      <c r="D677" t="s">
        <v>68</v>
      </c>
      <c r="E677">
        <v>86</v>
      </c>
      <c r="F677">
        <v>133</v>
      </c>
      <c r="G677" s="1">
        <v>500</v>
      </c>
      <c r="H677" s="1">
        <v>500</v>
      </c>
      <c r="I677" s="1">
        <v>750</v>
      </c>
      <c r="J677" s="1">
        <v>1500</v>
      </c>
    </row>
    <row r="678" spans="1:10" x14ac:dyDescent="0.3">
      <c r="A678" t="s">
        <v>120</v>
      </c>
      <c r="B678" t="s">
        <v>4</v>
      </c>
      <c r="C678" t="s">
        <v>193</v>
      </c>
      <c r="D678" t="s">
        <v>68</v>
      </c>
      <c r="E678">
        <v>86</v>
      </c>
      <c r="F678">
        <v>133</v>
      </c>
      <c r="G678" s="1">
        <v>500</v>
      </c>
      <c r="H678" s="1">
        <v>500</v>
      </c>
      <c r="I678" s="1">
        <v>1250</v>
      </c>
      <c r="J678" s="1">
        <v>2500</v>
      </c>
    </row>
    <row r="679" spans="1:10" x14ac:dyDescent="0.3">
      <c r="A679" t="s">
        <v>120</v>
      </c>
      <c r="B679" t="s">
        <v>3</v>
      </c>
      <c r="C679" t="s">
        <v>193</v>
      </c>
      <c r="D679" t="s">
        <v>68</v>
      </c>
      <c r="E679">
        <v>86</v>
      </c>
      <c r="F679">
        <v>133</v>
      </c>
      <c r="G679" s="1">
        <v>800</v>
      </c>
      <c r="H679" s="1">
        <v>785</v>
      </c>
      <c r="I679" s="1">
        <v>1963</v>
      </c>
      <c r="J679" s="1">
        <v>2500</v>
      </c>
    </row>
    <row r="680" spans="1:10" x14ac:dyDescent="0.3">
      <c r="A680" t="s">
        <v>120</v>
      </c>
      <c r="B680" t="s">
        <v>5</v>
      </c>
      <c r="C680" t="s">
        <v>193</v>
      </c>
      <c r="D680" t="s">
        <v>29</v>
      </c>
      <c r="E680">
        <v>86</v>
      </c>
      <c r="F680">
        <v>140</v>
      </c>
      <c r="G680" s="1">
        <v>320</v>
      </c>
      <c r="H680" s="1">
        <v>320</v>
      </c>
      <c r="I680" s="1">
        <v>480</v>
      </c>
      <c r="J680" s="1">
        <v>1500</v>
      </c>
    </row>
    <row r="681" spans="1:10" x14ac:dyDescent="0.3">
      <c r="A681" t="s">
        <v>120</v>
      </c>
      <c r="B681" t="s">
        <v>4</v>
      </c>
      <c r="C681" t="s">
        <v>193</v>
      </c>
      <c r="D681" t="s">
        <v>29</v>
      </c>
      <c r="E681">
        <v>86</v>
      </c>
      <c r="F681">
        <v>140</v>
      </c>
      <c r="G681" s="1">
        <v>300</v>
      </c>
      <c r="H681" s="1">
        <v>300</v>
      </c>
      <c r="I681" s="1">
        <v>750</v>
      </c>
      <c r="J681" s="1">
        <v>2500</v>
      </c>
    </row>
    <row r="682" spans="1:10" x14ac:dyDescent="0.3">
      <c r="A682" t="s">
        <v>120</v>
      </c>
      <c r="B682" t="s">
        <v>3</v>
      </c>
      <c r="C682" t="s">
        <v>193</v>
      </c>
      <c r="D682" t="s">
        <v>29</v>
      </c>
      <c r="E682">
        <v>86</v>
      </c>
      <c r="F682">
        <v>140</v>
      </c>
      <c r="G682" s="1">
        <v>300</v>
      </c>
      <c r="H682" s="1">
        <v>280</v>
      </c>
      <c r="I682" s="1">
        <v>700</v>
      </c>
      <c r="J682" s="1">
        <v>2500</v>
      </c>
    </row>
    <row r="683" spans="1:10" x14ac:dyDescent="0.3">
      <c r="A683" t="s">
        <v>120</v>
      </c>
      <c r="B683" t="s">
        <v>17</v>
      </c>
      <c r="C683" t="s">
        <v>193</v>
      </c>
      <c r="D683" t="s">
        <v>58</v>
      </c>
      <c r="E683">
        <v>86</v>
      </c>
      <c r="F683">
        <v>154</v>
      </c>
      <c r="G683" s="1">
        <v>200</v>
      </c>
      <c r="H683" s="1">
        <v>200</v>
      </c>
      <c r="I683" s="1">
        <v>440</v>
      </c>
      <c r="J683" s="1">
        <v>2200</v>
      </c>
    </row>
    <row r="684" spans="1:10" x14ac:dyDescent="0.3">
      <c r="A684" t="s">
        <v>120</v>
      </c>
      <c r="B684" t="s">
        <v>14</v>
      </c>
      <c r="C684" t="s">
        <v>193</v>
      </c>
      <c r="D684" t="s">
        <v>58</v>
      </c>
      <c r="E684">
        <v>86</v>
      </c>
      <c r="F684">
        <v>154</v>
      </c>
      <c r="G684" s="1">
        <v>2000</v>
      </c>
      <c r="H684" s="1">
        <v>2000</v>
      </c>
      <c r="I684" s="1">
        <v>2600</v>
      </c>
      <c r="J684" s="1">
        <v>1300</v>
      </c>
    </row>
    <row r="685" spans="1:10" x14ac:dyDescent="0.3">
      <c r="A685" t="s">
        <v>120</v>
      </c>
      <c r="B685" t="s">
        <v>12</v>
      </c>
      <c r="C685" t="s">
        <v>193</v>
      </c>
      <c r="D685" t="s">
        <v>58</v>
      </c>
      <c r="E685">
        <v>86</v>
      </c>
      <c r="F685">
        <v>154</v>
      </c>
      <c r="G685" s="1">
        <v>1000</v>
      </c>
      <c r="H685" s="1">
        <v>1000</v>
      </c>
      <c r="I685" s="1">
        <v>1400</v>
      </c>
      <c r="J685" s="1">
        <v>1400</v>
      </c>
    </row>
    <row r="686" spans="1:10" x14ac:dyDescent="0.3">
      <c r="A686" t="s">
        <v>120</v>
      </c>
      <c r="B686" t="s">
        <v>9</v>
      </c>
      <c r="C686" t="s">
        <v>193</v>
      </c>
      <c r="D686" t="s">
        <v>58</v>
      </c>
      <c r="E686">
        <v>86</v>
      </c>
      <c r="F686">
        <v>154</v>
      </c>
      <c r="G686" s="1">
        <v>19200</v>
      </c>
      <c r="H686" s="1">
        <v>19200</v>
      </c>
      <c r="I686" s="1">
        <v>40320</v>
      </c>
      <c r="J686" s="1">
        <v>2100</v>
      </c>
    </row>
    <row r="687" spans="1:10" x14ac:dyDescent="0.3">
      <c r="A687" t="s">
        <v>120</v>
      </c>
      <c r="B687" t="s">
        <v>8</v>
      </c>
      <c r="C687" t="s">
        <v>193</v>
      </c>
      <c r="D687" t="s">
        <v>58</v>
      </c>
      <c r="E687">
        <v>86</v>
      </c>
      <c r="F687">
        <v>154</v>
      </c>
      <c r="G687" s="1">
        <v>18965</v>
      </c>
      <c r="H687" s="1">
        <v>18965</v>
      </c>
      <c r="I687" s="1">
        <v>39827</v>
      </c>
      <c r="J687" s="1">
        <v>2100</v>
      </c>
    </row>
    <row r="688" spans="1:10" x14ac:dyDescent="0.3">
      <c r="A688" t="s">
        <v>120</v>
      </c>
      <c r="B688" t="s">
        <v>7</v>
      </c>
      <c r="C688" t="s">
        <v>193</v>
      </c>
      <c r="D688" t="s">
        <v>58</v>
      </c>
      <c r="E688">
        <v>86</v>
      </c>
      <c r="F688">
        <v>154</v>
      </c>
      <c r="G688" s="1">
        <v>10780</v>
      </c>
      <c r="H688" s="1">
        <v>10780</v>
      </c>
      <c r="I688" s="1">
        <v>15092</v>
      </c>
      <c r="J688" s="1">
        <v>1400</v>
      </c>
    </row>
    <row r="689" spans="1:10" x14ac:dyDescent="0.3">
      <c r="A689" t="s">
        <v>120</v>
      </c>
      <c r="B689" t="s">
        <v>6</v>
      </c>
      <c r="C689" t="s">
        <v>193</v>
      </c>
      <c r="D689" t="s">
        <v>58</v>
      </c>
      <c r="E689">
        <v>86</v>
      </c>
      <c r="F689">
        <v>154</v>
      </c>
      <c r="G689" s="1">
        <v>9100</v>
      </c>
      <c r="H689" s="1">
        <v>9100</v>
      </c>
      <c r="I689" s="1">
        <v>15470</v>
      </c>
      <c r="J689" s="1">
        <v>1700</v>
      </c>
    </row>
    <row r="690" spans="1:10" x14ac:dyDescent="0.3">
      <c r="A690" t="s">
        <v>120</v>
      </c>
      <c r="B690" t="s">
        <v>5</v>
      </c>
      <c r="C690" t="s">
        <v>193</v>
      </c>
      <c r="D690" t="s">
        <v>58</v>
      </c>
      <c r="E690">
        <v>86</v>
      </c>
      <c r="F690">
        <v>154</v>
      </c>
      <c r="G690" s="1">
        <v>15000</v>
      </c>
      <c r="H690" s="1">
        <v>15000</v>
      </c>
      <c r="I690" s="1">
        <v>18000</v>
      </c>
      <c r="J690" s="1">
        <v>1200</v>
      </c>
    </row>
    <row r="691" spans="1:10" x14ac:dyDescent="0.3">
      <c r="A691" t="s">
        <v>120</v>
      </c>
      <c r="B691" t="s">
        <v>4</v>
      </c>
      <c r="C691" t="s">
        <v>193</v>
      </c>
      <c r="D691" t="s">
        <v>58</v>
      </c>
      <c r="E691">
        <v>86</v>
      </c>
      <c r="F691">
        <v>154</v>
      </c>
      <c r="G691" s="1">
        <v>1860</v>
      </c>
      <c r="H691" s="1">
        <v>1860</v>
      </c>
      <c r="I691" s="1">
        <v>2790</v>
      </c>
      <c r="J691" s="1">
        <v>1500</v>
      </c>
    </row>
    <row r="692" spans="1:10" x14ac:dyDescent="0.3">
      <c r="A692" t="s">
        <v>120</v>
      </c>
      <c r="B692" t="s">
        <v>3</v>
      </c>
      <c r="C692" t="s">
        <v>193</v>
      </c>
      <c r="D692" t="s">
        <v>58</v>
      </c>
      <c r="E692">
        <v>86</v>
      </c>
      <c r="F692">
        <v>154</v>
      </c>
      <c r="G692" s="1">
        <v>14580</v>
      </c>
      <c r="H692" s="1">
        <v>14580</v>
      </c>
      <c r="I692" s="1">
        <v>29160</v>
      </c>
      <c r="J692" s="1">
        <v>2000</v>
      </c>
    </row>
    <row r="693" spans="1:10" x14ac:dyDescent="0.3">
      <c r="A693" t="s">
        <v>202</v>
      </c>
      <c r="B693" t="s">
        <v>7</v>
      </c>
      <c r="C693" t="s">
        <v>193</v>
      </c>
      <c r="D693" t="s">
        <v>70</v>
      </c>
      <c r="E693">
        <v>86</v>
      </c>
      <c r="F693">
        <v>91</v>
      </c>
      <c r="G693" s="1">
        <v>70</v>
      </c>
      <c r="H693" s="1">
        <v>0</v>
      </c>
      <c r="I693" s="1">
        <v>0</v>
      </c>
      <c r="J693" s="1">
        <v>0</v>
      </c>
    </row>
    <row r="694" spans="1:10" x14ac:dyDescent="0.3">
      <c r="A694" t="s">
        <v>119</v>
      </c>
      <c r="B694" t="s">
        <v>18</v>
      </c>
      <c r="C694" t="s">
        <v>193</v>
      </c>
      <c r="D694" t="s">
        <v>64</v>
      </c>
      <c r="E694">
        <v>86</v>
      </c>
      <c r="F694">
        <v>7</v>
      </c>
      <c r="G694" s="1">
        <v>15000</v>
      </c>
      <c r="H694" s="1">
        <v>7000</v>
      </c>
      <c r="I694" s="1">
        <v>38500</v>
      </c>
      <c r="J694" s="1">
        <v>5500</v>
      </c>
    </row>
    <row r="695" spans="1:10" x14ac:dyDescent="0.3">
      <c r="A695" t="s">
        <v>119</v>
      </c>
      <c r="B695" t="s">
        <v>17</v>
      </c>
      <c r="C695" t="s">
        <v>193</v>
      </c>
      <c r="D695" t="s">
        <v>64</v>
      </c>
      <c r="E695">
        <v>86</v>
      </c>
      <c r="F695">
        <v>7</v>
      </c>
      <c r="G695" s="1">
        <v>18360</v>
      </c>
      <c r="H695" s="1">
        <v>16670</v>
      </c>
      <c r="I695" s="1">
        <v>113356</v>
      </c>
      <c r="J695" s="1">
        <v>6800</v>
      </c>
    </row>
    <row r="696" spans="1:10" x14ac:dyDescent="0.3">
      <c r="A696" t="s">
        <v>119</v>
      </c>
      <c r="B696" t="s">
        <v>14</v>
      </c>
      <c r="C696" t="s">
        <v>193</v>
      </c>
      <c r="D696" t="s">
        <v>64</v>
      </c>
      <c r="E696">
        <v>86</v>
      </c>
      <c r="F696">
        <v>7</v>
      </c>
      <c r="G696" s="1">
        <v>18000</v>
      </c>
      <c r="H696" s="1">
        <v>16600</v>
      </c>
      <c r="I696" s="1">
        <v>114540</v>
      </c>
      <c r="J696" s="1">
        <v>6900</v>
      </c>
    </row>
    <row r="697" spans="1:10" x14ac:dyDescent="0.3">
      <c r="A697" t="s">
        <v>119</v>
      </c>
      <c r="B697" t="s">
        <v>12</v>
      </c>
      <c r="C697" t="s">
        <v>193</v>
      </c>
      <c r="D697" t="s">
        <v>64</v>
      </c>
      <c r="E697">
        <v>86</v>
      </c>
      <c r="F697">
        <v>7</v>
      </c>
      <c r="G697" s="1">
        <v>21000</v>
      </c>
      <c r="H697" s="1">
        <v>15380</v>
      </c>
      <c r="I697" s="1">
        <v>76900</v>
      </c>
      <c r="J697" s="1">
        <v>5000</v>
      </c>
    </row>
    <row r="698" spans="1:10" x14ac:dyDescent="0.3">
      <c r="A698" t="s">
        <v>119</v>
      </c>
      <c r="B698" t="s">
        <v>9</v>
      </c>
      <c r="C698" t="s">
        <v>193</v>
      </c>
      <c r="D698" t="s">
        <v>64</v>
      </c>
      <c r="E698">
        <v>86</v>
      </c>
      <c r="F698">
        <v>7</v>
      </c>
      <c r="G698" s="1">
        <v>22000</v>
      </c>
      <c r="H698" s="1">
        <v>19840</v>
      </c>
      <c r="I698" s="1">
        <v>123008</v>
      </c>
      <c r="J698" s="1">
        <v>6200</v>
      </c>
    </row>
    <row r="699" spans="1:10" x14ac:dyDescent="0.3">
      <c r="A699" t="s">
        <v>119</v>
      </c>
      <c r="B699" t="s">
        <v>8</v>
      </c>
      <c r="C699" t="s">
        <v>193</v>
      </c>
      <c r="D699" t="s">
        <v>64</v>
      </c>
      <c r="E699">
        <v>86</v>
      </c>
      <c r="F699">
        <v>7</v>
      </c>
      <c r="G699" s="1">
        <v>22000</v>
      </c>
      <c r="H699" s="1">
        <v>20115</v>
      </c>
      <c r="I699" s="1">
        <v>146236</v>
      </c>
      <c r="J699" s="1">
        <v>7270</v>
      </c>
    </row>
    <row r="700" spans="1:10" x14ac:dyDescent="0.3">
      <c r="A700" t="s">
        <v>119</v>
      </c>
      <c r="B700" t="s">
        <v>7</v>
      </c>
      <c r="C700" t="s">
        <v>193</v>
      </c>
      <c r="D700" t="s">
        <v>64</v>
      </c>
      <c r="E700">
        <v>86</v>
      </c>
      <c r="F700">
        <v>7</v>
      </c>
      <c r="G700" s="1">
        <v>19000</v>
      </c>
      <c r="H700" s="1">
        <v>17270</v>
      </c>
      <c r="I700" s="1">
        <v>124344</v>
      </c>
      <c r="J700" s="1">
        <v>7200</v>
      </c>
    </row>
    <row r="701" spans="1:10" x14ac:dyDescent="0.3">
      <c r="A701" t="s">
        <v>119</v>
      </c>
      <c r="B701" t="s">
        <v>6</v>
      </c>
      <c r="C701" t="s">
        <v>193</v>
      </c>
      <c r="D701" t="s">
        <v>64</v>
      </c>
      <c r="E701">
        <v>86</v>
      </c>
      <c r="F701">
        <v>7</v>
      </c>
      <c r="G701" s="1">
        <v>21000</v>
      </c>
      <c r="H701" s="1">
        <v>19910</v>
      </c>
      <c r="I701" s="1">
        <v>135388</v>
      </c>
      <c r="J701" s="1">
        <v>6800</v>
      </c>
    </row>
    <row r="702" spans="1:10" x14ac:dyDescent="0.3">
      <c r="A702" t="s">
        <v>119</v>
      </c>
      <c r="B702" t="s">
        <v>5</v>
      </c>
      <c r="C702" t="s">
        <v>193</v>
      </c>
      <c r="D702" t="s">
        <v>64</v>
      </c>
      <c r="E702">
        <v>86</v>
      </c>
      <c r="F702">
        <v>7</v>
      </c>
      <c r="G702" s="1">
        <v>21000</v>
      </c>
      <c r="H702" s="1">
        <v>19131</v>
      </c>
      <c r="I702" s="1">
        <v>86090</v>
      </c>
      <c r="J702" s="1">
        <v>4500</v>
      </c>
    </row>
    <row r="703" spans="1:10" x14ac:dyDescent="0.3">
      <c r="A703" t="s">
        <v>119</v>
      </c>
      <c r="B703" t="s">
        <v>4</v>
      </c>
      <c r="C703" t="s">
        <v>193</v>
      </c>
      <c r="D703" t="s">
        <v>64</v>
      </c>
      <c r="E703">
        <v>86</v>
      </c>
      <c r="F703">
        <v>7</v>
      </c>
      <c r="G703" s="1">
        <v>22000</v>
      </c>
      <c r="H703" s="1">
        <v>15490</v>
      </c>
      <c r="I703" s="1">
        <v>48019</v>
      </c>
      <c r="J703" s="1">
        <v>3100</v>
      </c>
    </row>
    <row r="704" spans="1:10" x14ac:dyDescent="0.3">
      <c r="A704" t="s">
        <v>119</v>
      </c>
      <c r="B704" t="s">
        <v>3</v>
      </c>
      <c r="C704" t="s">
        <v>193</v>
      </c>
      <c r="D704" t="s">
        <v>64</v>
      </c>
      <c r="E704">
        <v>86</v>
      </c>
      <c r="F704">
        <v>7</v>
      </c>
      <c r="G704" s="1">
        <v>11600</v>
      </c>
      <c r="H704" s="1">
        <v>9630</v>
      </c>
      <c r="I704" s="1">
        <v>57780</v>
      </c>
      <c r="J704" s="1">
        <v>6000</v>
      </c>
    </row>
    <row r="705" spans="1:10" x14ac:dyDescent="0.3">
      <c r="A705" t="s">
        <v>119</v>
      </c>
      <c r="B705" t="s">
        <v>18</v>
      </c>
      <c r="C705" t="s">
        <v>193</v>
      </c>
      <c r="D705" t="s">
        <v>62</v>
      </c>
      <c r="E705">
        <v>86</v>
      </c>
      <c r="F705">
        <v>14</v>
      </c>
      <c r="G705" s="1">
        <v>50000</v>
      </c>
      <c r="H705" s="1">
        <v>44000</v>
      </c>
      <c r="I705" s="1">
        <v>281600</v>
      </c>
      <c r="J705" s="1">
        <v>6400</v>
      </c>
    </row>
    <row r="706" spans="1:10" x14ac:dyDescent="0.3">
      <c r="A706" t="s">
        <v>119</v>
      </c>
      <c r="B706" t="s">
        <v>17</v>
      </c>
      <c r="C706" t="s">
        <v>193</v>
      </c>
      <c r="D706" t="s">
        <v>62</v>
      </c>
      <c r="E706">
        <v>86</v>
      </c>
      <c r="F706">
        <v>14</v>
      </c>
      <c r="G706" s="1">
        <v>57840</v>
      </c>
      <c r="H706" s="1">
        <v>51050</v>
      </c>
      <c r="I706" s="1">
        <v>387980</v>
      </c>
      <c r="J706" s="1">
        <v>7600</v>
      </c>
    </row>
    <row r="707" spans="1:10" x14ac:dyDescent="0.3">
      <c r="A707" t="s">
        <v>119</v>
      </c>
      <c r="B707" t="s">
        <v>14</v>
      </c>
      <c r="C707" t="s">
        <v>193</v>
      </c>
      <c r="D707" t="s">
        <v>62</v>
      </c>
      <c r="E707">
        <v>86</v>
      </c>
      <c r="F707">
        <v>14</v>
      </c>
      <c r="G707" s="1">
        <v>95000</v>
      </c>
      <c r="H707" s="1">
        <v>89600</v>
      </c>
      <c r="I707" s="1">
        <v>618240</v>
      </c>
      <c r="J707" s="1">
        <v>6900</v>
      </c>
    </row>
    <row r="708" spans="1:10" x14ac:dyDescent="0.3">
      <c r="A708" t="s">
        <v>119</v>
      </c>
      <c r="B708" t="s">
        <v>12</v>
      </c>
      <c r="C708" t="s">
        <v>193</v>
      </c>
      <c r="D708" t="s">
        <v>62</v>
      </c>
      <c r="E708">
        <v>86</v>
      </c>
      <c r="F708">
        <v>14</v>
      </c>
      <c r="G708" s="1">
        <v>76910</v>
      </c>
      <c r="H708" s="1">
        <v>73290</v>
      </c>
      <c r="I708" s="1">
        <v>439740</v>
      </c>
      <c r="J708" s="1">
        <v>6000</v>
      </c>
    </row>
    <row r="709" spans="1:10" x14ac:dyDescent="0.3">
      <c r="A709" t="s">
        <v>119</v>
      </c>
      <c r="B709" t="s">
        <v>9</v>
      </c>
      <c r="C709" t="s">
        <v>193</v>
      </c>
      <c r="D709" t="s">
        <v>62</v>
      </c>
      <c r="E709">
        <v>86</v>
      </c>
      <c r="F709">
        <v>14</v>
      </c>
      <c r="G709" s="1">
        <v>80000</v>
      </c>
      <c r="H709" s="1">
        <v>76450</v>
      </c>
      <c r="I709" s="1">
        <v>496925</v>
      </c>
      <c r="J709" s="1">
        <v>6500</v>
      </c>
    </row>
    <row r="710" spans="1:10" x14ac:dyDescent="0.3">
      <c r="A710" t="s">
        <v>119</v>
      </c>
      <c r="B710" t="s">
        <v>8</v>
      </c>
      <c r="C710" t="s">
        <v>193</v>
      </c>
      <c r="D710" t="s">
        <v>62</v>
      </c>
      <c r="E710">
        <v>86</v>
      </c>
      <c r="F710">
        <v>14</v>
      </c>
      <c r="G710" s="1">
        <v>84200</v>
      </c>
      <c r="H710" s="1">
        <v>77520</v>
      </c>
      <c r="I710" s="1">
        <v>621710</v>
      </c>
      <c r="J710" s="1">
        <v>8020</v>
      </c>
    </row>
    <row r="711" spans="1:10" x14ac:dyDescent="0.3">
      <c r="A711" t="s">
        <v>119</v>
      </c>
      <c r="B711" t="s">
        <v>7</v>
      </c>
      <c r="C711" t="s">
        <v>193</v>
      </c>
      <c r="D711" t="s">
        <v>62</v>
      </c>
      <c r="E711">
        <v>86</v>
      </c>
      <c r="F711">
        <v>14</v>
      </c>
      <c r="G711" s="1">
        <v>70500</v>
      </c>
      <c r="H711" s="1">
        <v>64455</v>
      </c>
      <c r="I711" s="1">
        <v>515640</v>
      </c>
      <c r="J711" s="1">
        <v>8000</v>
      </c>
    </row>
    <row r="712" spans="1:10" x14ac:dyDescent="0.3">
      <c r="A712" t="s">
        <v>119</v>
      </c>
      <c r="B712" t="s">
        <v>6</v>
      </c>
      <c r="C712" t="s">
        <v>193</v>
      </c>
      <c r="D712" t="s">
        <v>62</v>
      </c>
      <c r="E712">
        <v>86</v>
      </c>
      <c r="F712">
        <v>14</v>
      </c>
      <c r="G712" s="1">
        <v>81000</v>
      </c>
      <c r="H712" s="1">
        <v>79370</v>
      </c>
      <c r="I712" s="1">
        <v>595275</v>
      </c>
      <c r="J712" s="1">
        <v>7500</v>
      </c>
    </row>
    <row r="713" spans="1:10" x14ac:dyDescent="0.3">
      <c r="A713" t="s">
        <v>119</v>
      </c>
      <c r="B713" t="s">
        <v>5</v>
      </c>
      <c r="C713" t="s">
        <v>193</v>
      </c>
      <c r="D713" t="s">
        <v>62</v>
      </c>
      <c r="E713">
        <v>86</v>
      </c>
      <c r="F713">
        <v>14</v>
      </c>
      <c r="G713" s="1">
        <v>81000</v>
      </c>
      <c r="H713" s="1">
        <v>73791</v>
      </c>
      <c r="I713" s="1">
        <v>442746</v>
      </c>
      <c r="J713" s="1">
        <v>6000</v>
      </c>
    </row>
    <row r="714" spans="1:10" x14ac:dyDescent="0.3">
      <c r="A714" t="s">
        <v>119</v>
      </c>
      <c r="B714" t="s">
        <v>4</v>
      </c>
      <c r="C714" t="s">
        <v>193</v>
      </c>
      <c r="D714" t="s">
        <v>62</v>
      </c>
      <c r="E714">
        <v>86</v>
      </c>
      <c r="F714">
        <v>14</v>
      </c>
      <c r="G714" s="1">
        <v>83500</v>
      </c>
      <c r="H714" s="1">
        <v>50120</v>
      </c>
      <c r="I714" s="1">
        <v>115276</v>
      </c>
      <c r="J714" s="1">
        <v>2300</v>
      </c>
    </row>
    <row r="715" spans="1:10" x14ac:dyDescent="0.3">
      <c r="A715" t="s">
        <v>119</v>
      </c>
      <c r="B715" t="s">
        <v>3</v>
      </c>
      <c r="C715" t="s">
        <v>193</v>
      </c>
      <c r="D715" t="s">
        <v>62</v>
      </c>
      <c r="E715">
        <v>86</v>
      </c>
      <c r="F715">
        <v>14</v>
      </c>
      <c r="G715" s="1">
        <v>78250</v>
      </c>
      <c r="H715" s="1">
        <v>52110</v>
      </c>
      <c r="I715" s="1">
        <v>114642</v>
      </c>
      <c r="J715" s="1">
        <v>2200</v>
      </c>
    </row>
    <row r="716" spans="1:10" x14ac:dyDescent="0.3">
      <c r="A716" t="s">
        <v>119</v>
      </c>
      <c r="B716" t="s">
        <v>4</v>
      </c>
      <c r="C716" t="s">
        <v>193</v>
      </c>
      <c r="D716" t="s">
        <v>27</v>
      </c>
      <c r="E716">
        <v>86</v>
      </c>
      <c r="F716">
        <v>21</v>
      </c>
      <c r="G716" s="1">
        <v>500</v>
      </c>
      <c r="H716" s="1">
        <v>480</v>
      </c>
      <c r="I716" s="1">
        <v>1200</v>
      </c>
      <c r="J716" s="1">
        <v>2500</v>
      </c>
    </row>
    <row r="717" spans="1:10" x14ac:dyDescent="0.3">
      <c r="A717" t="s">
        <v>119</v>
      </c>
      <c r="B717" t="s">
        <v>3</v>
      </c>
      <c r="C717" t="s">
        <v>193</v>
      </c>
      <c r="D717" t="s">
        <v>27</v>
      </c>
      <c r="E717">
        <v>86</v>
      </c>
      <c r="F717">
        <v>21</v>
      </c>
      <c r="G717" s="1">
        <v>300</v>
      </c>
      <c r="H717" s="1">
        <v>195</v>
      </c>
      <c r="I717" s="1">
        <v>975</v>
      </c>
      <c r="J717" s="1">
        <v>5000</v>
      </c>
    </row>
    <row r="718" spans="1:10" x14ac:dyDescent="0.3">
      <c r="A718" t="s">
        <v>119</v>
      </c>
      <c r="B718" t="s">
        <v>18</v>
      </c>
      <c r="C718" t="s">
        <v>193</v>
      </c>
      <c r="D718" t="s">
        <v>37</v>
      </c>
      <c r="E718">
        <v>86</v>
      </c>
      <c r="F718">
        <v>28</v>
      </c>
      <c r="G718" s="1">
        <v>2000</v>
      </c>
      <c r="H718" s="1">
        <v>1900</v>
      </c>
      <c r="I718" s="1">
        <v>10450</v>
      </c>
      <c r="J718" s="1">
        <v>5500</v>
      </c>
    </row>
    <row r="719" spans="1:10" x14ac:dyDescent="0.3">
      <c r="A719" t="s">
        <v>119</v>
      </c>
      <c r="B719" t="s">
        <v>17</v>
      </c>
      <c r="C719" t="s">
        <v>193</v>
      </c>
      <c r="D719" t="s">
        <v>37</v>
      </c>
      <c r="E719">
        <v>86</v>
      </c>
      <c r="F719">
        <v>28</v>
      </c>
      <c r="G719" s="1">
        <v>2415</v>
      </c>
      <c r="H719" s="1">
        <v>2220</v>
      </c>
      <c r="I719" s="1">
        <v>13986</v>
      </c>
      <c r="J719" s="1">
        <v>6300</v>
      </c>
    </row>
    <row r="720" spans="1:10" x14ac:dyDescent="0.3">
      <c r="A720" t="s">
        <v>119</v>
      </c>
      <c r="B720" t="s">
        <v>14</v>
      </c>
      <c r="C720" t="s">
        <v>193</v>
      </c>
      <c r="D720" t="s">
        <v>37</v>
      </c>
      <c r="E720">
        <v>86</v>
      </c>
      <c r="F720">
        <v>28</v>
      </c>
      <c r="G720" s="1">
        <v>2300</v>
      </c>
      <c r="H720" s="1">
        <v>1900</v>
      </c>
      <c r="I720" s="1">
        <v>12160</v>
      </c>
      <c r="J720" s="1">
        <v>6400</v>
      </c>
    </row>
    <row r="721" spans="1:10" x14ac:dyDescent="0.3">
      <c r="A721" t="s">
        <v>119</v>
      </c>
      <c r="B721" t="s">
        <v>12</v>
      </c>
      <c r="C721" t="s">
        <v>193</v>
      </c>
      <c r="D721" t="s">
        <v>37</v>
      </c>
      <c r="E721">
        <v>86</v>
      </c>
      <c r="F721">
        <v>28</v>
      </c>
      <c r="G721" s="1">
        <v>2500</v>
      </c>
      <c r="H721" s="1">
        <v>1930</v>
      </c>
      <c r="I721" s="1">
        <v>9650</v>
      </c>
      <c r="J721" s="1">
        <v>5000</v>
      </c>
    </row>
    <row r="722" spans="1:10" x14ac:dyDescent="0.3">
      <c r="A722" t="s">
        <v>119</v>
      </c>
      <c r="B722" t="s">
        <v>9</v>
      </c>
      <c r="C722" t="s">
        <v>193</v>
      </c>
      <c r="D722" t="s">
        <v>37</v>
      </c>
      <c r="E722">
        <v>86</v>
      </c>
      <c r="F722">
        <v>28</v>
      </c>
      <c r="G722" s="1">
        <v>2500</v>
      </c>
      <c r="H722" s="1">
        <v>2270</v>
      </c>
      <c r="I722" s="1">
        <v>15209</v>
      </c>
      <c r="J722" s="1">
        <v>6700</v>
      </c>
    </row>
    <row r="723" spans="1:10" x14ac:dyDescent="0.3">
      <c r="A723" t="s">
        <v>119</v>
      </c>
      <c r="B723" t="s">
        <v>8</v>
      </c>
      <c r="C723" t="s">
        <v>193</v>
      </c>
      <c r="D723" t="s">
        <v>37</v>
      </c>
      <c r="E723">
        <v>86</v>
      </c>
      <c r="F723">
        <v>28</v>
      </c>
      <c r="G723" s="1">
        <v>5500</v>
      </c>
      <c r="H723" s="1">
        <v>5040</v>
      </c>
      <c r="I723" s="1">
        <v>36641</v>
      </c>
      <c r="J723" s="1">
        <v>7270</v>
      </c>
    </row>
    <row r="724" spans="1:10" x14ac:dyDescent="0.3">
      <c r="A724" t="s">
        <v>119</v>
      </c>
      <c r="B724" t="s">
        <v>7</v>
      </c>
      <c r="C724" t="s">
        <v>193</v>
      </c>
      <c r="D724" t="s">
        <v>37</v>
      </c>
      <c r="E724">
        <v>86</v>
      </c>
      <c r="F724">
        <v>28</v>
      </c>
      <c r="G724" s="1">
        <v>5500</v>
      </c>
      <c r="H724" s="1">
        <v>5075</v>
      </c>
      <c r="I724" s="1">
        <v>36540</v>
      </c>
      <c r="J724" s="1">
        <v>7200</v>
      </c>
    </row>
    <row r="725" spans="1:10" x14ac:dyDescent="0.3">
      <c r="A725" t="s">
        <v>119</v>
      </c>
      <c r="B725" t="s">
        <v>6</v>
      </c>
      <c r="C725" t="s">
        <v>193</v>
      </c>
      <c r="D725" t="s">
        <v>37</v>
      </c>
      <c r="E725">
        <v>86</v>
      </c>
      <c r="F725">
        <v>28</v>
      </c>
      <c r="G725" s="1">
        <v>5500</v>
      </c>
      <c r="H725" s="1">
        <v>5120</v>
      </c>
      <c r="I725" s="1">
        <v>35328</v>
      </c>
      <c r="J725" s="1">
        <v>6900</v>
      </c>
    </row>
    <row r="726" spans="1:10" x14ac:dyDescent="0.3">
      <c r="A726" t="s">
        <v>119</v>
      </c>
      <c r="B726" t="s">
        <v>5</v>
      </c>
      <c r="C726" t="s">
        <v>193</v>
      </c>
      <c r="D726" t="s">
        <v>37</v>
      </c>
      <c r="E726">
        <v>86</v>
      </c>
      <c r="F726">
        <v>28</v>
      </c>
      <c r="G726" s="1">
        <v>5500</v>
      </c>
      <c r="H726" s="1">
        <v>5011</v>
      </c>
      <c r="I726" s="1">
        <v>27558</v>
      </c>
      <c r="J726" s="1">
        <v>5500</v>
      </c>
    </row>
    <row r="727" spans="1:10" x14ac:dyDescent="0.3">
      <c r="A727" t="s">
        <v>119</v>
      </c>
      <c r="B727" t="s">
        <v>4</v>
      </c>
      <c r="C727" t="s">
        <v>193</v>
      </c>
      <c r="D727" t="s">
        <v>37</v>
      </c>
      <c r="E727">
        <v>86</v>
      </c>
      <c r="F727">
        <v>28</v>
      </c>
      <c r="G727" s="1">
        <v>6300</v>
      </c>
      <c r="H727" s="1">
        <v>4620</v>
      </c>
      <c r="I727" s="1">
        <v>13398</v>
      </c>
      <c r="J727" s="1">
        <v>2900</v>
      </c>
    </row>
    <row r="728" spans="1:10" x14ac:dyDescent="0.3">
      <c r="A728" t="s">
        <v>119</v>
      </c>
      <c r="B728" t="s">
        <v>3</v>
      </c>
      <c r="C728" t="s">
        <v>193</v>
      </c>
      <c r="D728" t="s">
        <v>37</v>
      </c>
      <c r="E728">
        <v>86</v>
      </c>
      <c r="F728">
        <v>28</v>
      </c>
      <c r="G728" s="1">
        <v>3870</v>
      </c>
      <c r="H728" s="1">
        <v>3740</v>
      </c>
      <c r="I728" s="1">
        <v>17204</v>
      </c>
      <c r="J728" s="1">
        <v>4600</v>
      </c>
    </row>
    <row r="729" spans="1:10" x14ac:dyDescent="0.3">
      <c r="A729" t="s">
        <v>119</v>
      </c>
      <c r="B729" t="s">
        <v>18</v>
      </c>
      <c r="C729" t="s">
        <v>193</v>
      </c>
      <c r="D729" t="s">
        <v>44</v>
      </c>
      <c r="E729">
        <v>86</v>
      </c>
      <c r="F729">
        <v>35</v>
      </c>
      <c r="G729" s="1">
        <v>2800</v>
      </c>
      <c r="H729" s="1">
        <v>2000</v>
      </c>
      <c r="I729" s="1">
        <v>14800</v>
      </c>
      <c r="J729" s="1">
        <v>7400</v>
      </c>
    </row>
    <row r="730" spans="1:10" x14ac:dyDescent="0.3">
      <c r="A730" t="s">
        <v>119</v>
      </c>
      <c r="B730" t="s">
        <v>17</v>
      </c>
      <c r="C730" t="s">
        <v>193</v>
      </c>
      <c r="D730" t="s">
        <v>44</v>
      </c>
      <c r="E730">
        <v>86</v>
      </c>
      <c r="F730">
        <v>35</v>
      </c>
      <c r="G730" s="1">
        <v>2500</v>
      </c>
      <c r="H730" s="1">
        <v>2175</v>
      </c>
      <c r="I730" s="1">
        <v>14790</v>
      </c>
      <c r="J730" s="1">
        <v>6800</v>
      </c>
    </row>
    <row r="731" spans="1:10" x14ac:dyDescent="0.3">
      <c r="A731" t="s">
        <v>119</v>
      </c>
      <c r="B731" t="s">
        <v>14</v>
      </c>
      <c r="C731" t="s">
        <v>193</v>
      </c>
      <c r="D731" t="s">
        <v>44</v>
      </c>
      <c r="E731">
        <v>86</v>
      </c>
      <c r="F731">
        <v>35</v>
      </c>
      <c r="G731" s="1">
        <v>3500</v>
      </c>
      <c r="H731" s="1">
        <v>3300</v>
      </c>
      <c r="I731" s="1">
        <v>28050</v>
      </c>
      <c r="J731" s="1">
        <v>8500</v>
      </c>
    </row>
    <row r="732" spans="1:10" x14ac:dyDescent="0.3">
      <c r="A732" t="s">
        <v>119</v>
      </c>
      <c r="B732" t="s">
        <v>12</v>
      </c>
      <c r="C732" t="s">
        <v>193</v>
      </c>
      <c r="D732" t="s">
        <v>44</v>
      </c>
      <c r="E732">
        <v>86</v>
      </c>
      <c r="F732">
        <v>35</v>
      </c>
      <c r="G732" s="1">
        <v>4000</v>
      </c>
      <c r="H732" s="1">
        <v>2890</v>
      </c>
      <c r="I732" s="1">
        <v>20230</v>
      </c>
      <c r="J732" s="1">
        <v>7000</v>
      </c>
    </row>
    <row r="733" spans="1:10" x14ac:dyDescent="0.3">
      <c r="A733" t="s">
        <v>119</v>
      </c>
      <c r="B733" t="s">
        <v>9</v>
      </c>
      <c r="C733" t="s">
        <v>193</v>
      </c>
      <c r="D733" t="s">
        <v>44</v>
      </c>
      <c r="E733">
        <v>86</v>
      </c>
      <c r="F733">
        <v>35</v>
      </c>
      <c r="G733" s="1">
        <v>3500</v>
      </c>
      <c r="H733" s="1">
        <v>3500</v>
      </c>
      <c r="I733" s="1">
        <v>24500</v>
      </c>
      <c r="J733" s="1">
        <v>7000</v>
      </c>
    </row>
    <row r="734" spans="1:10" x14ac:dyDescent="0.3">
      <c r="A734" t="s">
        <v>119</v>
      </c>
      <c r="B734" t="s">
        <v>8</v>
      </c>
      <c r="C734" t="s">
        <v>193</v>
      </c>
      <c r="D734" t="s">
        <v>44</v>
      </c>
      <c r="E734">
        <v>86</v>
      </c>
      <c r="F734">
        <v>35</v>
      </c>
      <c r="G734" s="1">
        <v>4000</v>
      </c>
      <c r="H734" s="1">
        <v>3800</v>
      </c>
      <c r="I734" s="1">
        <v>26714</v>
      </c>
      <c r="J734" s="1">
        <v>7030</v>
      </c>
    </row>
    <row r="735" spans="1:10" x14ac:dyDescent="0.3">
      <c r="A735" t="s">
        <v>119</v>
      </c>
      <c r="B735" t="s">
        <v>7</v>
      </c>
      <c r="C735" t="s">
        <v>193</v>
      </c>
      <c r="D735" t="s">
        <v>44</v>
      </c>
      <c r="E735">
        <v>86</v>
      </c>
      <c r="F735">
        <v>35</v>
      </c>
      <c r="G735" s="1">
        <v>4000</v>
      </c>
      <c r="H735" s="1">
        <v>3600</v>
      </c>
      <c r="I735" s="1">
        <v>25200</v>
      </c>
      <c r="J735" s="1">
        <v>7000</v>
      </c>
    </row>
    <row r="736" spans="1:10" x14ac:dyDescent="0.3">
      <c r="A736" t="s">
        <v>119</v>
      </c>
      <c r="B736" t="s">
        <v>6</v>
      </c>
      <c r="C736" t="s">
        <v>193</v>
      </c>
      <c r="D736" t="s">
        <v>44</v>
      </c>
      <c r="E736">
        <v>86</v>
      </c>
      <c r="F736">
        <v>35</v>
      </c>
      <c r="G736" s="1">
        <v>4000</v>
      </c>
      <c r="H736" s="1">
        <v>4000</v>
      </c>
      <c r="I736" s="1">
        <v>26000</v>
      </c>
      <c r="J736" s="1">
        <v>6500</v>
      </c>
    </row>
    <row r="737" spans="1:10" x14ac:dyDescent="0.3">
      <c r="A737" t="s">
        <v>119</v>
      </c>
      <c r="B737" t="s">
        <v>5</v>
      </c>
      <c r="C737" t="s">
        <v>193</v>
      </c>
      <c r="D737" t="s">
        <v>44</v>
      </c>
      <c r="E737">
        <v>86</v>
      </c>
      <c r="F737">
        <v>35</v>
      </c>
      <c r="G737" s="1">
        <v>5000</v>
      </c>
      <c r="H737" s="1">
        <v>4000</v>
      </c>
      <c r="I737" s="1">
        <v>22000</v>
      </c>
      <c r="J737" s="1">
        <v>5500</v>
      </c>
    </row>
    <row r="738" spans="1:10" x14ac:dyDescent="0.3">
      <c r="A738" t="s">
        <v>119</v>
      </c>
      <c r="B738" t="s">
        <v>4</v>
      </c>
      <c r="C738" t="s">
        <v>193</v>
      </c>
      <c r="D738" t="s">
        <v>44</v>
      </c>
      <c r="E738">
        <v>86</v>
      </c>
      <c r="F738">
        <v>35</v>
      </c>
      <c r="G738" s="1">
        <v>5000</v>
      </c>
      <c r="H738" s="1">
        <v>3000</v>
      </c>
      <c r="I738" s="1">
        <v>13500</v>
      </c>
      <c r="J738" s="1">
        <v>4500</v>
      </c>
    </row>
    <row r="739" spans="1:10" x14ac:dyDescent="0.3">
      <c r="A739" t="s">
        <v>119</v>
      </c>
      <c r="B739" t="s">
        <v>3</v>
      </c>
      <c r="C739" t="s">
        <v>193</v>
      </c>
      <c r="D739" t="s">
        <v>44</v>
      </c>
      <c r="E739">
        <v>86</v>
      </c>
      <c r="F739">
        <v>35</v>
      </c>
      <c r="G739" s="1">
        <v>2400</v>
      </c>
      <c r="H739" s="1">
        <v>1560</v>
      </c>
      <c r="I739" s="1">
        <v>8736</v>
      </c>
      <c r="J739" s="1">
        <v>5600</v>
      </c>
    </row>
    <row r="740" spans="1:10" x14ac:dyDescent="0.3">
      <c r="A740" t="s">
        <v>119</v>
      </c>
      <c r="B740" t="s">
        <v>18</v>
      </c>
      <c r="C740" t="s">
        <v>193</v>
      </c>
      <c r="D740" t="s">
        <v>74</v>
      </c>
      <c r="E740">
        <v>86</v>
      </c>
      <c r="F740">
        <v>42</v>
      </c>
      <c r="G740" s="1">
        <v>40000</v>
      </c>
      <c r="H740" s="1">
        <v>24000</v>
      </c>
      <c r="I740" s="1">
        <v>156000</v>
      </c>
      <c r="J740" s="1">
        <v>6500</v>
      </c>
    </row>
    <row r="741" spans="1:10" x14ac:dyDescent="0.3">
      <c r="A741" t="s">
        <v>119</v>
      </c>
      <c r="B741" t="s">
        <v>17</v>
      </c>
      <c r="C741" t="s">
        <v>193</v>
      </c>
      <c r="D741" t="s">
        <v>74</v>
      </c>
      <c r="E741">
        <v>86</v>
      </c>
      <c r="F741">
        <v>42</v>
      </c>
      <c r="G741" s="1">
        <v>73500</v>
      </c>
      <c r="H741" s="1">
        <v>66480</v>
      </c>
      <c r="I741" s="1">
        <v>485304</v>
      </c>
      <c r="J741" s="1">
        <v>7300</v>
      </c>
    </row>
    <row r="742" spans="1:10" x14ac:dyDescent="0.3">
      <c r="A742" t="s">
        <v>119</v>
      </c>
      <c r="B742" t="s">
        <v>14</v>
      </c>
      <c r="C742" t="s">
        <v>193</v>
      </c>
      <c r="D742" t="s">
        <v>74</v>
      </c>
      <c r="E742">
        <v>86</v>
      </c>
      <c r="F742">
        <v>42</v>
      </c>
      <c r="G742" s="1">
        <v>31800</v>
      </c>
      <c r="H742" s="1">
        <v>26000</v>
      </c>
      <c r="I742" s="1">
        <v>179400</v>
      </c>
      <c r="J742" s="1">
        <v>6900</v>
      </c>
    </row>
    <row r="743" spans="1:10" x14ac:dyDescent="0.3">
      <c r="A743" t="s">
        <v>119</v>
      </c>
      <c r="B743" t="s">
        <v>12</v>
      </c>
      <c r="C743" t="s">
        <v>193</v>
      </c>
      <c r="D743" t="s">
        <v>74</v>
      </c>
      <c r="E743">
        <v>86</v>
      </c>
      <c r="F743">
        <v>42</v>
      </c>
      <c r="G743" s="1">
        <v>38000</v>
      </c>
      <c r="H743" s="1">
        <v>31420</v>
      </c>
      <c r="I743" s="1">
        <v>157100</v>
      </c>
      <c r="J743" s="1">
        <v>5000</v>
      </c>
    </row>
    <row r="744" spans="1:10" x14ac:dyDescent="0.3">
      <c r="A744" t="s">
        <v>119</v>
      </c>
      <c r="B744" t="s">
        <v>9</v>
      </c>
      <c r="C744" t="s">
        <v>193</v>
      </c>
      <c r="D744" t="s">
        <v>74</v>
      </c>
      <c r="E744">
        <v>86</v>
      </c>
      <c r="F744">
        <v>42</v>
      </c>
      <c r="G744" s="1">
        <v>50000</v>
      </c>
      <c r="H744" s="1">
        <v>32920</v>
      </c>
      <c r="I744" s="1">
        <v>213980</v>
      </c>
      <c r="J744" s="1">
        <v>6500</v>
      </c>
    </row>
    <row r="745" spans="1:10" x14ac:dyDescent="0.3">
      <c r="A745" t="s">
        <v>119</v>
      </c>
      <c r="B745" t="s">
        <v>8</v>
      </c>
      <c r="C745" t="s">
        <v>193</v>
      </c>
      <c r="D745" t="s">
        <v>74</v>
      </c>
      <c r="E745">
        <v>86</v>
      </c>
      <c r="F745">
        <v>42</v>
      </c>
      <c r="G745" s="1">
        <v>50360</v>
      </c>
      <c r="H745" s="1">
        <v>45470</v>
      </c>
      <c r="I745" s="1">
        <v>347846</v>
      </c>
      <c r="J745" s="1">
        <v>7650</v>
      </c>
    </row>
    <row r="746" spans="1:10" x14ac:dyDescent="0.3">
      <c r="A746" t="s">
        <v>119</v>
      </c>
      <c r="B746" t="s">
        <v>7</v>
      </c>
      <c r="C746" t="s">
        <v>193</v>
      </c>
      <c r="D746" t="s">
        <v>74</v>
      </c>
      <c r="E746">
        <v>86</v>
      </c>
      <c r="F746">
        <v>42</v>
      </c>
      <c r="G746" s="1">
        <v>44000</v>
      </c>
      <c r="H746" s="1">
        <v>39540</v>
      </c>
      <c r="I746" s="1">
        <v>300504</v>
      </c>
      <c r="J746" s="1">
        <v>7600</v>
      </c>
    </row>
    <row r="747" spans="1:10" x14ac:dyDescent="0.3">
      <c r="A747" t="s">
        <v>119</v>
      </c>
      <c r="B747" t="s">
        <v>6</v>
      </c>
      <c r="C747" t="s">
        <v>193</v>
      </c>
      <c r="D747" t="s">
        <v>74</v>
      </c>
      <c r="E747">
        <v>86</v>
      </c>
      <c r="F747">
        <v>42</v>
      </c>
      <c r="G747" s="1">
        <v>49000</v>
      </c>
      <c r="H747" s="1">
        <v>46420</v>
      </c>
      <c r="I747" s="1">
        <v>348150</v>
      </c>
      <c r="J747" s="1">
        <v>7500</v>
      </c>
    </row>
    <row r="748" spans="1:10" x14ac:dyDescent="0.3">
      <c r="A748" t="s">
        <v>119</v>
      </c>
      <c r="B748" t="s">
        <v>5</v>
      </c>
      <c r="C748" t="s">
        <v>193</v>
      </c>
      <c r="D748" t="s">
        <v>74</v>
      </c>
      <c r="E748">
        <v>86</v>
      </c>
      <c r="F748">
        <v>42</v>
      </c>
      <c r="G748" s="1">
        <v>49000</v>
      </c>
      <c r="H748" s="1">
        <v>44639</v>
      </c>
      <c r="I748" s="1">
        <v>281226</v>
      </c>
      <c r="J748" s="1">
        <v>6300</v>
      </c>
    </row>
    <row r="749" spans="1:10" x14ac:dyDescent="0.3">
      <c r="A749" t="s">
        <v>119</v>
      </c>
      <c r="B749" t="s">
        <v>4</v>
      </c>
      <c r="C749" t="s">
        <v>193</v>
      </c>
      <c r="D749" t="s">
        <v>74</v>
      </c>
      <c r="E749">
        <v>86</v>
      </c>
      <c r="F749">
        <v>42</v>
      </c>
      <c r="G749" s="1">
        <v>51000</v>
      </c>
      <c r="H749" s="1">
        <v>29100</v>
      </c>
      <c r="I749" s="1">
        <v>87300</v>
      </c>
      <c r="J749" s="1">
        <v>3000</v>
      </c>
    </row>
    <row r="750" spans="1:10" x14ac:dyDescent="0.3">
      <c r="A750" t="s">
        <v>119</v>
      </c>
      <c r="B750" t="s">
        <v>3</v>
      </c>
      <c r="C750" t="s">
        <v>193</v>
      </c>
      <c r="D750" t="s">
        <v>74</v>
      </c>
      <c r="E750">
        <v>86</v>
      </c>
      <c r="F750">
        <v>42</v>
      </c>
      <c r="G750" s="1">
        <v>13400</v>
      </c>
      <c r="H750" s="1">
        <v>9110</v>
      </c>
      <c r="I750" s="1">
        <v>61948</v>
      </c>
      <c r="J750" s="1">
        <v>6800</v>
      </c>
    </row>
    <row r="751" spans="1:10" x14ac:dyDescent="0.3">
      <c r="A751" t="s">
        <v>119</v>
      </c>
      <c r="B751" t="s">
        <v>18</v>
      </c>
      <c r="C751" t="s">
        <v>193</v>
      </c>
      <c r="D751" t="s">
        <v>41</v>
      </c>
      <c r="E751">
        <v>86</v>
      </c>
      <c r="F751">
        <v>49</v>
      </c>
      <c r="G751" s="1">
        <v>1800</v>
      </c>
      <c r="H751" s="1">
        <v>1000</v>
      </c>
      <c r="I751" s="1">
        <v>7800</v>
      </c>
      <c r="J751" s="1">
        <v>7800</v>
      </c>
    </row>
    <row r="752" spans="1:10" x14ac:dyDescent="0.3">
      <c r="A752" t="s">
        <v>119</v>
      </c>
      <c r="B752" t="s">
        <v>17</v>
      </c>
      <c r="C752" t="s">
        <v>193</v>
      </c>
      <c r="D752" t="s">
        <v>41</v>
      </c>
      <c r="E752">
        <v>86</v>
      </c>
      <c r="F752">
        <v>49</v>
      </c>
      <c r="G752" s="1">
        <v>1500</v>
      </c>
      <c r="H752" s="1">
        <v>1305</v>
      </c>
      <c r="I752" s="1">
        <v>9527</v>
      </c>
      <c r="J752" s="1">
        <v>7300</v>
      </c>
    </row>
    <row r="753" spans="1:10" x14ac:dyDescent="0.3">
      <c r="A753" t="s">
        <v>119</v>
      </c>
      <c r="B753" t="s">
        <v>14</v>
      </c>
      <c r="C753" t="s">
        <v>193</v>
      </c>
      <c r="D753" t="s">
        <v>41</v>
      </c>
      <c r="E753">
        <v>86</v>
      </c>
      <c r="F753">
        <v>49</v>
      </c>
      <c r="G753" s="1">
        <v>3500</v>
      </c>
      <c r="H753" s="1">
        <v>3100</v>
      </c>
      <c r="I753" s="1">
        <v>24800</v>
      </c>
      <c r="J753" s="1">
        <v>8000</v>
      </c>
    </row>
    <row r="754" spans="1:10" x14ac:dyDescent="0.3">
      <c r="A754" t="s">
        <v>119</v>
      </c>
      <c r="B754" t="s">
        <v>12</v>
      </c>
      <c r="C754" t="s">
        <v>193</v>
      </c>
      <c r="D754" t="s">
        <v>41</v>
      </c>
      <c r="E754">
        <v>86</v>
      </c>
      <c r="F754">
        <v>49</v>
      </c>
      <c r="G754" s="1">
        <v>4000</v>
      </c>
      <c r="H754" s="1">
        <v>2890</v>
      </c>
      <c r="I754" s="1">
        <v>21675</v>
      </c>
      <c r="J754" s="1">
        <v>7500</v>
      </c>
    </row>
    <row r="755" spans="1:10" x14ac:dyDescent="0.3">
      <c r="A755" t="s">
        <v>119</v>
      </c>
      <c r="B755" t="s">
        <v>9</v>
      </c>
      <c r="C755" t="s">
        <v>193</v>
      </c>
      <c r="D755" t="s">
        <v>41</v>
      </c>
      <c r="E755">
        <v>86</v>
      </c>
      <c r="F755">
        <v>49</v>
      </c>
      <c r="G755" s="1">
        <v>3500</v>
      </c>
      <c r="H755" s="1">
        <v>3100</v>
      </c>
      <c r="I755" s="1">
        <v>21700</v>
      </c>
      <c r="J755" s="1">
        <v>7000</v>
      </c>
    </row>
    <row r="756" spans="1:10" x14ac:dyDescent="0.3">
      <c r="A756" t="s">
        <v>119</v>
      </c>
      <c r="B756" t="s">
        <v>8</v>
      </c>
      <c r="C756" t="s">
        <v>193</v>
      </c>
      <c r="D756" t="s">
        <v>41</v>
      </c>
      <c r="E756">
        <v>86</v>
      </c>
      <c r="F756">
        <v>49</v>
      </c>
      <c r="G756" s="1">
        <v>4000</v>
      </c>
      <c r="H756" s="1">
        <v>3800</v>
      </c>
      <c r="I756" s="1">
        <v>26714</v>
      </c>
      <c r="J756" s="1">
        <v>7030</v>
      </c>
    </row>
    <row r="757" spans="1:10" x14ac:dyDescent="0.3">
      <c r="A757" t="s">
        <v>119</v>
      </c>
      <c r="B757" t="s">
        <v>7</v>
      </c>
      <c r="C757" t="s">
        <v>193</v>
      </c>
      <c r="D757" t="s">
        <v>41</v>
      </c>
      <c r="E757">
        <v>86</v>
      </c>
      <c r="F757">
        <v>49</v>
      </c>
      <c r="G757" s="1">
        <v>4000</v>
      </c>
      <c r="H757" s="1">
        <v>3600</v>
      </c>
      <c r="I757" s="1">
        <v>27000</v>
      </c>
      <c r="J757" s="1">
        <v>7500</v>
      </c>
    </row>
    <row r="758" spans="1:10" x14ac:dyDescent="0.3">
      <c r="A758" t="s">
        <v>119</v>
      </c>
      <c r="B758" t="s">
        <v>6</v>
      </c>
      <c r="C758" t="s">
        <v>193</v>
      </c>
      <c r="D758" t="s">
        <v>41</v>
      </c>
      <c r="E758">
        <v>86</v>
      </c>
      <c r="F758">
        <v>49</v>
      </c>
      <c r="G758" s="1">
        <v>4000</v>
      </c>
      <c r="H758" s="1">
        <v>4000</v>
      </c>
      <c r="I758" s="1">
        <v>30000</v>
      </c>
      <c r="J758" s="1">
        <v>7500</v>
      </c>
    </row>
    <row r="759" spans="1:10" x14ac:dyDescent="0.3">
      <c r="A759" t="s">
        <v>119</v>
      </c>
      <c r="B759" t="s">
        <v>5</v>
      </c>
      <c r="C759" t="s">
        <v>193</v>
      </c>
      <c r="D759" t="s">
        <v>41</v>
      </c>
      <c r="E759">
        <v>86</v>
      </c>
      <c r="F759">
        <v>49</v>
      </c>
      <c r="G759" s="1">
        <v>5000</v>
      </c>
      <c r="H759" s="1">
        <v>4000</v>
      </c>
      <c r="I759" s="1">
        <v>22000</v>
      </c>
      <c r="J759" s="1">
        <v>5500</v>
      </c>
    </row>
    <row r="760" spans="1:10" x14ac:dyDescent="0.3">
      <c r="A760" t="s">
        <v>119</v>
      </c>
      <c r="B760" t="s">
        <v>4</v>
      </c>
      <c r="C760" t="s">
        <v>193</v>
      </c>
      <c r="D760" t="s">
        <v>41</v>
      </c>
      <c r="E760">
        <v>86</v>
      </c>
      <c r="F760">
        <v>49</v>
      </c>
      <c r="G760" s="1">
        <v>5000</v>
      </c>
      <c r="H760" s="1">
        <v>3300</v>
      </c>
      <c r="I760" s="1">
        <v>14850</v>
      </c>
      <c r="J760" s="1">
        <v>4500</v>
      </c>
    </row>
    <row r="761" spans="1:10" x14ac:dyDescent="0.3">
      <c r="A761" t="s">
        <v>119</v>
      </c>
      <c r="B761" t="s">
        <v>3</v>
      </c>
      <c r="C761" t="s">
        <v>193</v>
      </c>
      <c r="D761" t="s">
        <v>41</v>
      </c>
      <c r="E761">
        <v>86</v>
      </c>
      <c r="F761">
        <v>49</v>
      </c>
      <c r="G761" s="1">
        <v>3000</v>
      </c>
      <c r="H761" s="1">
        <v>2015</v>
      </c>
      <c r="I761" s="1">
        <v>11687</v>
      </c>
      <c r="J761" s="1">
        <v>5800</v>
      </c>
    </row>
    <row r="762" spans="1:10" x14ac:dyDescent="0.3">
      <c r="A762" t="s">
        <v>119</v>
      </c>
      <c r="B762" t="s">
        <v>18</v>
      </c>
      <c r="C762" t="s">
        <v>193</v>
      </c>
      <c r="D762" t="s">
        <v>48</v>
      </c>
      <c r="E762">
        <v>86</v>
      </c>
      <c r="F762">
        <v>63</v>
      </c>
      <c r="G762" s="1">
        <v>5000</v>
      </c>
      <c r="H762" s="1">
        <v>4000</v>
      </c>
      <c r="I762" s="1">
        <v>22000</v>
      </c>
      <c r="J762" s="1">
        <v>5500</v>
      </c>
    </row>
    <row r="763" spans="1:10" x14ac:dyDescent="0.3">
      <c r="A763" t="s">
        <v>119</v>
      </c>
      <c r="B763" t="s">
        <v>17</v>
      </c>
      <c r="C763" t="s">
        <v>193</v>
      </c>
      <c r="D763" t="s">
        <v>48</v>
      </c>
      <c r="E763">
        <v>86</v>
      </c>
      <c r="F763">
        <v>63</v>
      </c>
      <c r="G763" s="1">
        <v>4500</v>
      </c>
      <c r="H763" s="1">
        <v>2715</v>
      </c>
      <c r="I763" s="1">
        <v>17105</v>
      </c>
      <c r="J763" s="1">
        <v>6300</v>
      </c>
    </row>
    <row r="764" spans="1:10" x14ac:dyDescent="0.3">
      <c r="A764" t="s">
        <v>119</v>
      </c>
      <c r="B764" t="s">
        <v>14</v>
      </c>
      <c r="C764" t="s">
        <v>193</v>
      </c>
      <c r="D764" t="s">
        <v>48</v>
      </c>
      <c r="E764">
        <v>86</v>
      </c>
      <c r="F764">
        <v>63</v>
      </c>
      <c r="G764" s="1">
        <v>5000</v>
      </c>
      <c r="H764" s="1">
        <v>4400</v>
      </c>
      <c r="I764" s="1">
        <v>30800</v>
      </c>
      <c r="J764" s="1">
        <v>7000</v>
      </c>
    </row>
    <row r="765" spans="1:10" x14ac:dyDescent="0.3">
      <c r="A765" t="s">
        <v>119</v>
      </c>
      <c r="B765" t="s">
        <v>12</v>
      </c>
      <c r="C765" t="s">
        <v>193</v>
      </c>
      <c r="D765" t="s">
        <v>48</v>
      </c>
      <c r="E765">
        <v>86</v>
      </c>
      <c r="F765">
        <v>63</v>
      </c>
      <c r="G765" s="1">
        <v>6000</v>
      </c>
      <c r="H765" s="1">
        <v>4300</v>
      </c>
      <c r="I765" s="1">
        <v>23650</v>
      </c>
      <c r="J765" s="1">
        <v>5500</v>
      </c>
    </row>
    <row r="766" spans="1:10" x14ac:dyDescent="0.3">
      <c r="A766" t="s">
        <v>119</v>
      </c>
      <c r="B766" t="s">
        <v>9</v>
      </c>
      <c r="C766" t="s">
        <v>193</v>
      </c>
      <c r="D766" t="s">
        <v>48</v>
      </c>
      <c r="E766">
        <v>86</v>
      </c>
      <c r="F766">
        <v>63</v>
      </c>
      <c r="G766" s="1">
        <v>5000</v>
      </c>
      <c r="H766" s="1">
        <v>5000</v>
      </c>
      <c r="I766" s="1">
        <v>33500</v>
      </c>
      <c r="J766" s="1">
        <v>6700</v>
      </c>
    </row>
    <row r="767" spans="1:10" x14ac:dyDescent="0.3">
      <c r="A767" t="s">
        <v>119</v>
      </c>
      <c r="B767" t="s">
        <v>8</v>
      </c>
      <c r="C767" t="s">
        <v>193</v>
      </c>
      <c r="D767" t="s">
        <v>48</v>
      </c>
      <c r="E767">
        <v>86</v>
      </c>
      <c r="F767">
        <v>63</v>
      </c>
      <c r="G767" s="1">
        <v>6000</v>
      </c>
      <c r="H767" s="1">
        <v>5700</v>
      </c>
      <c r="I767" s="1">
        <v>40071</v>
      </c>
      <c r="J767" s="1">
        <v>7030</v>
      </c>
    </row>
    <row r="768" spans="1:10" x14ac:dyDescent="0.3">
      <c r="A768" t="s">
        <v>119</v>
      </c>
      <c r="B768" t="s">
        <v>7</v>
      </c>
      <c r="C768" t="s">
        <v>193</v>
      </c>
      <c r="D768" t="s">
        <v>48</v>
      </c>
      <c r="E768">
        <v>86</v>
      </c>
      <c r="F768">
        <v>63</v>
      </c>
      <c r="G768" s="1">
        <v>6000</v>
      </c>
      <c r="H768" s="1">
        <v>5400</v>
      </c>
      <c r="I768" s="1">
        <v>37800</v>
      </c>
      <c r="J768" s="1">
        <v>7000</v>
      </c>
    </row>
    <row r="769" spans="1:10" x14ac:dyDescent="0.3">
      <c r="A769" t="s">
        <v>119</v>
      </c>
      <c r="B769" t="s">
        <v>6</v>
      </c>
      <c r="C769" t="s">
        <v>193</v>
      </c>
      <c r="D769" t="s">
        <v>48</v>
      </c>
      <c r="E769">
        <v>86</v>
      </c>
      <c r="F769">
        <v>63</v>
      </c>
      <c r="G769" s="1">
        <v>5500</v>
      </c>
      <c r="H769" s="1">
        <v>4950</v>
      </c>
      <c r="I769" s="1">
        <v>37125</v>
      </c>
      <c r="J769" s="1">
        <v>7500</v>
      </c>
    </row>
    <row r="770" spans="1:10" x14ac:dyDescent="0.3">
      <c r="A770" t="s">
        <v>119</v>
      </c>
      <c r="B770" t="s">
        <v>5</v>
      </c>
      <c r="C770" t="s">
        <v>193</v>
      </c>
      <c r="D770" t="s">
        <v>48</v>
      </c>
      <c r="E770">
        <v>86</v>
      </c>
      <c r="F770">
        <v>63</v>
      </c>
      <c r="G770" s="1">
        <v>6000</v>
      </c>
      <c r="H770" s="1">
        <v>4800</v>
      </c>
      <c r="I770" s="1">
        <v>26400</v>
      </c>
      <c r="J770" s="1">
        <v>5500</v>
      </c>
    </row>
    <row r="771" spans="1:10" x14ac:dyDescent="0.3">
      <c r="A771" t="s">
        <v>119</v>
      </c>
      <c r="B771" t="s">
        <v>4</v>
      </c>
      <c r="C771" t="s">
        <v>193</v>
      </c>
      <c r="D771" t="s">
        <v>48</v>
      </c>
      <c r="E771">
        <v>86</v>
      </c>
      <c r="F771">
        <v>63</v>
      </c>
      <c r="G771" s="1">
        <v>6000</v>
      </c>
      <c r="H771" s="1">
        <v>4195</v>
      </c>
      <c r="I771" s="1">
        <v>18878</v>
      </c>
      <c r="J771" s="1">
        <v>4500</v>
      </c>
    </row>
    <row r="772" spans="1:10" x14ac:dyDescent="0.3">
      <c r="A772" t="s">
        <v>119</v>
      </c>
      <c r="B772" t="s">
        <v>3</v>
      </c>
      <c r="C772" t="s">
        <v>193</v>
      </c>
      <c r="D772" t="s">
        <v>48</v>
      </c>
      <c r="E772">
        <v>86</v>
      </c>
      <c r="F772">
        <v>63</v>
      </c>
      <c r="G772" s="1">
        <v>3600</v>
      </c>
      <c r="H772" s="1">
        <v>2350</v>
      </c>
      <c r="I772" s="1">
        <v>13160</v>
      </c>
      <c r="J772" s="1">
        <v>5600</v>
      </c>
    </row>
    <row r="773" spans="1:10" x14ac:dyDescent="0.3">
      <c r="A773" t="s">
        <v>119</v>
      </c>
      <c r="B773" t="s">
        <v>18</v>
      </c>
      <c r="C773" t="s">
        <v>193</v>
      </c>
      <c r="D773" t="s">
        <v>51</v>
      </c>
      <c r="E773">
        <v>86</v>
      </c>
      <c r="F773">
        <v>56</v>
      </c>
      <c r="G773" s="1">
        <v>6000</v>
      </c>
      <c r="H773" s="1">
        <v>5200</v>
      </c>
      <c r="I773" s="1">
        <v>33800</v>
      </c>
      <c r="J773" s="1">
        <v>6500</v>
      </c>
    </row>
    <row r="774" spans="1:10" x14ac:dyDescent="0.3">
      <c r="A774" t="s">
        <v>119</v>
      </c>
      <c r="B774" t="s">
        <v>17</v>
      </c>
      <c r="C774" t="s">
        <v>193</v>
      </c>
      <c r="D774" t="s">
        <v>51</v>
      </c>
      <c r="E774">
        <v>86</v>
      </c>
      <c r="F774">
        <v>56</v>
      </c>
      <c r="G774" s="1">
        <v>6480</v>
      </c>
      <c r="H774" s="1">
        <v>5830</v>
      </c>
      <c r="I774" s="1">
        <v>36146</v>
      </c>
      <c r="J774" s="1">
        <v>6200</v>
      </c>
    </row>
    <row r="775" spans="1:10" x14ac:dyDescent="0.3">
      <c r="A775" t="s">
        <v>119</v>
      </c>
      <c r="B775" t="s">
        <v>14</v>
      </c>
      <c r="C775" t="s">
        <v>193</v>
      </c>
      <c r="D775" t="s">
        <v>51</v>
      </c>
      <c r="E775">
        <v>86</v>
      </c>
      <c r="F775">
        <v>56</v>
      </c>
      <c r="G775" s="1">
        <v>5600</v>
      </c>
      <c r="H775" s="1">
        <v>4250</v>
      </c>
      <c r="I775" s="1">
        <v>27200</v>
      </c>
      <c r="J775" s="1">
        <v>6400</v>
      </c>
    </row>
    <row r="776" spans="1:10" x14ac:dyDescent="0.3">
      <c r="A776" t="s">
        <v>119</v>
      </c>
      <c r="B776" t="s">
        <v>12</v>
      </c>
      <c r="C776" t="s">
        <v>193</v>
      </c>
      <c r="D776" t="s">
        <v>51</v>
      </c>
      <c r="E776">
        <v>86</v>
      </c>
      <c r="F776">
        <v>56</v>
      </c>
      <c r="G776" s="1">
        <v>6500</v>
      </c>
      <c r="H776" s="1">
        <v>5490</v>
      </c>
      <c r="I776" s="1">
        <v>30195</v>
      </c>
      <c r="J776" s="1">
        <v>5500</v>
      </c>
    </row>
    <row r="777" spans="1:10" x14ac:dyDescent="0.3">
      <c r="A777" t="s">
        <v>119</v>
      </c>
      <c r="B777" t="s">
        <v>9</v>
      </c>
      <c r="C777" t="s">
        <v>193</v>
      </c>
      <c r="D777" t="s">
        <v>51</v>
      </c>
      <c r="E777">
        <v>86</v>
      </c>
      <c r="F777">
        <v>56</v>
      </c>
      <c r="G777" s="1">
        <v>9000</v>
      </c>
      <c r="H777" s="1">
        <v>8760</v>
      </c>
      <c r="I777" s="1">
        <v>56940</v>
      </c>
      <c r="J777" s="1">
        <v>6500</v>
      </c>
    </row>
    <row r="778" spans="1:10" x14ac:dyDescent="0.3">
      <c r="A778" t="s">
        <v>119</v>
      </c>
      <c r="B778" t="s">
        <v>8</v>
      </c>
      <c r="C778" t="s">
        <v>193</v>
      </c>
      <c r="D778" t="s">
        <v>51</v>
      </c>
      <c r="E778">
        <v>86</v>
      </c>
      <c r="F778">
        <v>56</v>
      </c>
      <c r="G778" s="1">
        <v>12800</v>
      </c>
      <c r="H778" s="1">
        <v>12470</v>
      </c>
      <c r="I778" s="1">
        <v>76441</v>
      </c>
      <c r="J778" s="1">
        <v>6130</v>
      </c>
    </row>
    <row r="779" spans="1:10" x14ac:dyDescent="0.3">
      <c r="A779" t="s">
        <v>119</v>
      </c>
      <c r="B779" t="s">
        <v>7</v>
      </c>
      <c r="C779" t="s">
        <v>193</v>
      </c>
      <c r="D779" t="s">
        <v>51</v>
      </c>
      <c r="E779">
        <v>86</v>
      </c>
      <c r="F779">
        <v>56</v>
      </c>
      <c r="G779" s="1">
        <v>10500</v>
      </c>
      <c r="H779" s="1">
        <v>10175</v>
      </c>
      <c r="I779" s="1">
        <v>62068</v>
      </c>
      <c r="J779" s="1">
        <v>6100</v>
      </c>
    </row>
    <row r="780" spans="1:10" x14ac:dyDescent="0.3">
      <c r="A780" t="s">
        <v>119</v>
      </c>
      <c r="B780" t="s">
        <v>6</v>
      </c>
      <c r="C780" t="s">
        <v>193</v>
      </c>
      <c r="D780" t="s">
        <v>51</v>
      </c>
      <c r="E780">
        <v>86</v>
      </c>
      <c r="F780">
        <v>56</v>
      </c>
      <c r="G780" s="1">
        <v>11400</v>
      </c>
      <c r="H780" s="1">
        <v>10090</v>
      </c>
      <c r="I780" s="1">
        <v>72648</v>
      </c>
      <c r="J780" s="1">
        <v>7200</v>
      </c>
    </row>
    <row r="781" spans="1:10" x14ac:dyDescent="0.3">
      <c r="A781" t="s">
        <v>119</v>
      </c>
      <c r="B781" t="s">
        <v>5</v>
      </c>
      <c r="C781" t="s">
        <v>193</v>
      </c>
      <c r="D781" t="s">
        <v>51</v>
      </c>
      <c r="E781">
        <v>86</v>
      </c>
      <c r="F781">
        <v>56</v>
      </c>
      <c r="G781" s="1">
        <v>11400</v>
      </c>
      <c r="H781" s="1">
        <v>10385</v>
      </c>
      <c r="I781" s="1">
        <v>70621</v>
      </c>
      <c r="J781" s="1">
        <v>6800</v>
      </c>
    </row>
    <row r="782" spans="1:10" x14ac:dyDescent="0.3">
      <c r="A782" t="s">
        <v>119</v>
      </c>
      <c r="B782" t="s">
        <v>4</v>
      </c>
      <c r="C782" t="s">
        <v>193</v>
      </c>
      <c r="D782" t="s">
        <v>51</v>
      </c>
      <c r="E782">
        <v>86</v>
      </c>
      <c r="F782">
        <v>56</v>
      </c>
      <c r="G782" s="1">
        <v>13500</v>
      </c>
      <c r="H782" s="1">
        <v>8690</v>
      </c>
      <c r="I782" s="1">
        <v>23463</v>
      </c>
      <c r="J782" s="1">
        <v>2700</v>
      </c>
    </row>
    <row r="783" spans="1:10" x14ac:dyDescent="0.3">
      <c r="A783" t="s">
        <v>119</v>
      </c>
      <c r="B783" t="s">
        <v>3</v>
      </c>
      <c r="C783" t="s">
        <v>193</v>
      </c>
      <c r="D783" t="s">
        <v>51</v>
      </c>
      <c r="E783">
        <v>86</v>
      </c>
      <c r="F783">
        <v>56</v>
      </c>
      <c r="G783" s="1">
        <v>8810</v>
      </c>
      <c r="H783" s="1">
        <v>6240</v>
      </c>
      <c r="I783" s="1">
        <v>16848</v>
      </c>
      <c r="J783" s="1">
        <v>2700</v>
      </c>
    </row>
    <row r="784" spans="1:10" x14ac:dyDescent="0.3">
      <c r="A784" t="s">
        <v>119</v>
      </c>
      <c r="B784" t="s">
        <v>18</v>
      </c>
      <c r="C784" t="s">
        <v>193</v>
      </c>
      <c r="D784" t="s">
        <v>38</v>
      </c>
      <c r="E784">
        <v>86</v>
      </c>
      <c r="F784">
        <v>70</v>
      </c>
      <c r="G784" s="1">
        <v>2000</v>
      </c>
      <c r="H784" s="1">
        <v>1200</v>
      </c>
      <c r="I784" s="1">
        <v>8400</v>
      </c>
      <c r="J784" s="1">
        <v>7000</v>
      </c>
    </row>
    <row r="785" spans="1:10" x14ac:dyDescent="0.3">
      <c r="A785" t="s">
        <v>119</v>
      </c>
      <c r="B785" t="s">
        <v>17</v>
      </c>
      <c r="C785" t="s">
        <v>193</v>
      </c>
      <c r="D785" t="s">
        <v>38</v>
      </c>
      <c r="E785">
        <v>86</v>
      </c>
      <c r="F785">
        <v>70</v>
      </c>
      <c r="G785" s="1">
        <v>1500</v>
      </c>
      <c r="H785" s="1">
        <v>1305</v>
      </c>
      <c r="I785" s="1">
        <v>6917</v>
      </c>
      <c r="J785" s="1">
        <v>5300</v>
      </c>
    </row>
    <row r="786" spans="1:10" x14ac:dyDescent="0.3">
      <c r="A786" t="s">
        <v>119</v>
      </c>
      <c r="B786" t="s">
        <v>14</v>
      </c>
      <c r="C786" t="s">
        <v>193</v>
      </c>
      <c r="D786" t="s">
        <v>38</v>
      </c>
      <c r="E786">
        <v>86</v>
      </c>
      <c r="F786">
        <v>70</v>
      </c>
      <c r="G786" s="1">
        <v>2000</v>
      </c>
      <c r="H786" s="1">
        <v>1600</v>
      </c>
      <c r="I786" s="1">
        <v>11200</v>
      </c>
      <c r="J786" s="1">
        <v>7000</v>
      </c>
    </row>
    <row r="787" spans="1:10" x14ac:dyDescent="0.3">
      <c r="A787" t="s">
        <v>119</v>
      </c>
      <c r="B787" t="s">
        <v>12</v>
      </c>
      <c r="C787" t="s">
        <v>193</v>
      </c>
      <c r="D787" t="s">
        <v>38</v>
      </c>
      <c r="E787">
        <v>86</v>
      </c>
      <c r="F787">
        <v>70</v>
      </c>
      <c r="G787" s="1">
        <v>3000</v>
      </c>
      <c r="H787" s="1">
        <v>2160</v>
      </c>
      <c r="I787" s="1">
        <v>11880</v>
      </c>
      <c r="J787" s="1">
        <v>5500</v>
      </c>
    </row>
    <row r="788" spans="1:10" x14ac:dyDescent="0.3">
      <c r="A788" t="s">
        <v>119</v>
      </c>
      <c r="B788" t="s">
        <v>9</v>
      </c>
      <c r="C788" t="s">
        <v>193</v>
      </c>
      <c r="D788" t="s">
        <v>38</v>
      </c>
      <c r="E788">
        <v>86</v>
      </c>
      <c r="F788">
        <v>70</v>
      </c>
      <c r="G788" s="1">
        <v>2000</v>
      </c>
      <c r="H788" s="1">
        <v>2000</v>
      </c>
      <c r="I788" s="1">
        <v>11000</v>
      </c>
      <c r="J788" s="1">
        <v>5500</v>
      </c>
    </row>
    <row r="789" spans="1:10" x14ac:dyDescent="0.3">
      <c r="A789" t="s">
        <v>119</v>
      </c>
      <c r="B789" t="s">
        <v>8</v>
      </c>
      <c r="C789" t="s">
        <v>193</v>
      </c>
      <c r="D789" t="s">
        <v>38</v>
      </c>
      <c r="E789">
        <v>86</v>
      </c>
      <c r="F789">
        <v>70</v>
      </c>
      <c r="G789" s="1">
        <v>5000</v>
      </c>
      <c r="H789" s="1">
        <v>4750</v>
      </c>
      <c r="I789" s="1">
        <v>33393</v>
      </c>
      <c r="J789" s="1">
        <v>7030</v>
      </c>
    </row>
    <row r="790" spans="1:10" x14ac:dyDescent="0.3">
      <c r="A790" t="s">
        <v>119</v>
      </c>
      <c r="B790" t="s">
        <v>7</v>
      </c>
      <c r="C790" t="s">
        <v>193</v>
      </c>
      <c r="D790" t="s">
        <v>38</v>
      </c>
      <c r="E790">
        <v>86</v>
      </c>
      <c r="F790">
        <v>70</v>
      </c>
      <c r="G790" s="1">
        <v>5000</v>
      </c>
      <c r="H790" s="1">
        <v>4500</v>
      </c>
      <c r="I790" s="1">
        <v>33750</v>
      </c>
      <c r="J790" s="1">
        <v>7500</v>
      </c>
    </row>
    <row r="791" spans="1:10" x14ac:dyDescent="0.3">
      <c r="A791" t="s">
        <v>119</v>
      </c>
      <c r="B791" t="s">
        <v>6</v>
      </c>
      <c r="C791" t="s">
        <v>193</v>
      </c>
      <c r="D791" t="s">
        <v>38</v>
      </c>
      <c r="E791">
        <v>86</v>
      </c>
      <c r="F791">
        <v>70</v>
      </c>
      <c r="G791" s="1">
        <v>5000</v>
      </c>
      <c r="H791" s="1">
        <v>5000</v>
      </c>
      <c r="I791" s="1">
        <v>37500</v>
      </c>
      <c r="J791" s="1">
        <v>7500</v>
      </c>
    </row>
    <row r="792" spans="1:10" x14ac:dyDescent="0.3">
      <c r="A792" t="s">
        <v>119</v>
      </c>
      <c r="B792" t="s">
        <v>5</v>
      </c>
      <c r="C792" t="s">
        <v>193</v>
      </c>
      <c r="D792" t="s">
        <v>38</v>
      </c>
      <c r="E792">
        <v>86</v>
      </c>
      <c r="F792">
        <v>70</v>
      </c>
      <c r="G792" s="1">
        <v>5000</v>
      </c>
      <c r="H792" s="1">
        <v>4000</v>
      </c>
      <c r="I792" s="1">
        <v>22000</v>
      </c>
      <c r="J792" s="1">
        <v>5500</v>
      </c>
    </row>
    <row r="793" spans="1:10" x14ac:dyDescent="0.3">
      <c r="A793" t="s">
        <v>119</v>
      </c>
      <c r="B793" t="s">
        <v>4</v>
      </c>
      <c r="C793" t="s">
        <v>193</v>
      </c>
      <c r="D793" t="s">
        <v>38</v>
      </c>
      <c r="E793">
        <v>86</v>
      </c>
      <c r="F793">
        <v>70</v>
      </c>
      <c r="G793" s="1">
        <v>5000</v>
      </c>
      <c r="H793" s="1">
        <v>3300</v>
      </c>
      <c r="I793" s="1">
        <v>13200</v>
      </c>
      <c r="J793" s="1">
        <v>4000</v>
      </c>
    </row>
    <row r="794" spans="1:10" x14ac:dyDescent="0.3">
      <c r="A794" t="s">
        <v>119</v>
      </c>
      <c r="B794" t="s">
        <v>3</v>
      </c>
      <c r="C794" t="s">
        <v>193</v>
      </c>
      <c r="D794" t="s">
        <v>38</v>
      </c>
      <c r="E794">
        <v>86</v>
      </c>
      <c r="F794">
        <v>70</v>
      </c>
      <c r="G794" s="1">
        <v>3000</v>
      </c>
      <c r="H794" s="1">
        <v>1950</v>
      </c>
      <c r="I794" s="1">
        <v>10920</v>
      </c>
      <c r="J794" s="1">
        <v>5600</v>
      </c>
    </row>
    <row r="795" spans="1:10" x14ac:dyDescent="0.3">
      <c r="A795" t="s">
        <v>119</v>
      </c>
      <c r="B795" t="s">
        <v>18</v>
      </c>
      <c r="C795" t="s">
        <v>193</v>
      </c>
      <c r="D795" t="s">
        <v>75</v>
      </c>
      <c r="E795">
        <v>86</v>
      </c>
      <c r="F795">
        <v>77</v>
      </c>
      <c r="G795" s="1">
        <v>60000</v>
      </c>
      <c r="H795" s="1">
        <v>28000</v>
      </c>
      <c r="I795" s="1">
        <v>182000</v>
      </c>
      <c r="J795" s="1">
        <v>6500</v>
      </c>
    </row>
    <row r="796" spans="1:10" x14ac:dyDescent="0.3">
      <c r="A796" t="s">
        <v>119</v>
      </c>
      <c r="B796" t="s">
        <v>17</v>
      </c>
      <c r="C796" t="s">
        <v>193</v>
      </c>
      <c r="D796" t="s">
        <v>75</v>
      </c>
      <c r="E796">
        <v>86</v>
      </c>
      <c r="F796">
        <v>77</v>
      </c>
      <c r="G796" s="1">
        <v>108000</v>
      </c>
      <c r="H796" s="1">
        <v>97600</v>
      </c>
      <c r="I796" s="1">
        <v>692960</v>
      </c>
      <c r="J796" s="1">
        <v>7100</v>
      </c>
    </row>
    <row r="797" spans="1:10" x14ac:dyDescent="0.3">
      <c r="A797" t="s">
        <v>119</v>
      </c>
      <c r="B797" t="s">
        <v>14</v>
      </c>
      <c r="C797" t="s">
        <v>193</v>
      </c>
      <c r="D797" t="s">
        <v>75</v>
      </c>
      <c r="E797">
        <v>86</v>
      </c>
      <c r="F797">
        <v>77</v>
      </c>
      <c r="G797" s="1">
        <v>82000</v>
      </c>
      <c r="H797" s="1">
        <v>75200</v>
      </c>
      <c r="I797" s="1">
        <v>511360</v>
      </c>
      <c r="J797" s="1">
        <v>6800</v>
      </c>
    </row>
    <row r="798" spans="1:10" x14ac:dyDescent="0.3">
      <c r="A798" t="s">
        <v>119</v>
      </c>
      <c r="B798" t="s">
        <v>12</v>
      </c>
      <c r="C798" t="s">
        <v>193</v>
      </c>
      <c r="D798" t="s">
        <v>75</v>
      </c>
      <c r="E798">
        <v>86</v>
      </c>
      <c r="F798">
        <v>77</v>
      </c>
      <c r="G798" s="1">
        <v>93000</v>
      </c>
      <c r="H798" s="1">
        <v>79210</v>
      </c>
      <c r="I798" s="1">
        <v>435655</v>
      </c>
      <c r="J798" s="1">
        <v>5500</v>
      </c>
    </row>
    <row r="799" spans="1:10" x14ac:dyDescent="0.3">
      <c r="A799" t="s">
        <v>119</v>
      </c>
      <c r="B799" t="s">
        <v>9</v>
      </c>
      <c r="C799" t="s">
        <v>193</v>
      </c>
      <c r="D799" t="s">
        <v>75</v>
      </c>
      <c r="E799">
        <v>86</v>
      </c>
      <c r="F799">
        <v>77</v>
      </c>
      <c r="G799" s="1">
        <v>100000</v>
      </c>
      <c r="H799" s="1">
        <v>71490</v>
      </c>
      <c r="I799" s="1">
        <v>464685</v>
      </c>
      <c r="J799" s="1">
        <v>6500</v>
      </c>
    </row>
    <row r="800" spans="1:10" x14ac:dyDescent="0.3">
      <c r="A800" t="s">
        <v>119</v>
      </c>
      <c r="B800" t="s">
        <v>8</v>
      </c>
      <c r="C800" t="s">
        <v>193</v>
      </c>
      <c r="D800" t="s">
        <v>75</v>
      </c>
      <c r="E800">
        <v>86</v>
      </c>
      <c r="F800">
        <v>77</v>
      </c>
      <c r="G800" s="1">
        <v>101100</v>
      </c>
      <c r="H800" s="1">
        <v>93780</v>
      </c>
      <c r="I800" s="1">
        <v>725857</v>
      </c>
      <c r="J800" s="1">
        <v>7740</v>
      </c>
    </row>
    <row r="801" spans="1:10" x14ac:dyDescent="0.3">
      <c r="A801" t="s">
        <v>119</v>
      </c>
      <c r="B801" t="s">
        <v>7</v>
      </c>
      <c r="C801" t="s">
        <v>193</v>
      </c>
      <c r="D801" t="s">
        <v>75</v>
      </c>
      <c r="E801">
        <v>86</v>
      </c>
      <c r="F801">
        <v>77</v>
      </c>
      <c r="G801" s="1">
        <v>94000</v>
      </c>
      <c r="H801" s="1">
        <v>86750</v>
      </c>
      <c r="I801" s="1">
        <v>667975</v>
      </c>
      <c r="J801" s="1">
        <v>7700</v>
      </c>
    </row>
    <row r="802" spans="1:10" x14ac:dyDescent="0.3">
      <c r="A802" t="s">
        <v>119</v>
      </c>
      <c r="B802" t="s">
        <v>6</v>
      </c>
      <c r="C802" t="s">
        <v>193</v>
      </c>
      <c r="D802" t="s">
        <v>75</v>
      </c>
      <c r="E802">
        <v>86</v>
      </c>
      <c r="F802">
        <v>77</v>
      </c>
      <c r="G802" s="1">
        <v>101000</v>
      </c>
      <c r="H802" s="1">
        <v>91420</v>
      </c>
      <c r="I802" s="1">
        <v>694792</v>
      </c>
      <c r="J802" s="1">
        <v>7600</v>
      </c>
    </row>
    <row r="803" spans="1:10" x14ac:dyDescent="0.3">
      <c r="A803" t="s">
        <v>119</v>
      </c>
      <c r="B803" t="s">
        <v>5</v>
      </c>
      <c r="C803" t="s">
        <v>193</v>
      </c>
      <c r="D803" t="s">
        <v>75</v>
      </c>
      <c r="E803">
        <v>86</v>
      </c>
      <c r="F803">
        <v>77</v>
      </c>
      <c r="G803" s="1">
        <v>101000</v>
      </c>
      <c r="H803" s="1">
        <v>92011</v>
      </c>
      <c r="I803" s="1">
        <v>644077</v>
      </c>
      <c r="J803" s="1">
        <v>7000</v>
      </c>
    </row>
    <row r="804" spans="1:10" x14ac:dyDescent="0.3">
      <c r="A804" t="s">
        <v>119</v>
      </c>
      <c r="B804" t="s">
        <v>4</v>
      </c>
      <c r="C804" t="s">
        <v>193</v>
      </c>
      <c r="D804" t="s">
        <v>75</v>
      </c>
      <c r="E804">
        <v>86</v>
      </c>
      <c r="F804">
        <v>77</v>
      </c>
      <c r="G804" s="1">
        <v>100700</v>
      </c>
      <c r="H804" s="1">
        <v>64700</v>
      </c>
      <c r="I804" s="1">
        <v>200570</v>
      </c>
      <c r="J804" s="1">
        <v>3100</v>
      </c>
    </row>
    <row r="805" spans="1:10" x14ac:dyDescent="0.3">
      <c r="A805" t="s">
        <v>119</v>
      </c>
      <c r="B805" t="s">
        <v>3</v>
      </c>
      <c r="C805" t="s">
        <v>193</v>
      </c>
      <c r="D805" t="s">
        <v>75</v>
      </c>
      <c r="E805">
        <v>86</v>
      </c>
      <c r="F805">
        <v>77</v>
      </c>
      <c r="G805" s="1">
        <v>34250</v>
      </c>
      <c r="H805" s="1">
        <v>27390</v>
      </c>
      <c r="I805" s="1">
        <v>178035</v>
      </c>
      <c r="J805" s="1">
        <v>6500</v>
      </c>
    </row>
    <row r="806" spans="1:10" x14ac:dyDescent="0.3">
      <c r="A806" t="s">
        <v>119</v>
      </c>
      <c r="B806" t="s">
        <v>18</v>
      </c>
      <c r="C806" t="s">
        <v>193</v>
      </c>
      <c r="D806" t="s">
        <v>54</v>
      </c>
      <c r="E806">
        <v>86</v>
      </c>
      <c r="F806">
        <v>84</v>
      </c>
      <c r="G806" s="1">
        <v>5000</v>
      </c>
      <c r="H806" s="1">
        <v>4000</v>
      </c>
      <c r="I806" s="1">
        <v>22000</v>
      </c>
      <c r="J806" s="1">
        <v>5500</v>
      </c>
    </row>
    <row r="807" spans="1:10" x14ac:dyDescent="0.3">
      <c r="A807" t="s">
        <v>119</v>
      </c>
      <c r="B807" t="s">
        <v>17</v>
      </c>
      <c r="C807" t="s">
        <v>193</v>
      </c>
      <c r="D807" t="s">
        <v>54</v>
      </c>
      <c r="E807">
        <v>86</v>
      </c>
      <c r="F807">
        <v>84</v>
      </c>
      <c r="G807" s="1">
        <v>4500</v>
      </c>
      <c r="H807" s="1">
        <v>2715</v>
      </c>
      <c r="I807" s="1">
        <v>17105</v>
      </c>
      <c r="J807" s="1">
        <v>6300</v>
      </c>
    </row>
    <row r="808" spans="1:10" x14ac:dyDescent="0.3">
      <c r="A808" t="s">
        <v>119</v>
      </c>
      <c r="B808" t="s">
        <v>14</v>
      </c>
      <c r="C808" t="s">
        <v>193</v>
      </c>
      <c r="D808" t="s">
        <v>54</v>
      </c>
      <c r="E808">
        <v>86</v>
      </c>
      <c r="F808">
        <v>84</v>
      </c>
      <c r="G808" s="1">
        <v>5000</v>
      </c>
      <c r="H808" s="1">
        <v>4400</v>
      </c>
      <c r="I808" s="1">
        <v>35200</v>
      </c>
      <c r="J808" s="1">
        <v>8000</v>
      </c>
    </row>
    <row r="809" spans="1:10" x14ac:dyDescent="0.3">
      <c r="A809" t="s">
        <v>119</v>
      </c>
      <c r="B809" t="s">
        <v>12</v>
      </c>
      <c r="C809" t="s">
        <v>193</v>
      </c>
      <c r="D809" t="s">
        <v>54</v>
      </c>
      <c r="E809">
        <v>86</v>
      </c>
      <c r="F809">
        <v>84</v>
      </c>
      <c r="G809" s="1">
        <v>8000</v>
      </c>
      <c r="H809" s="1">
        <v>6890</v>
      </c>
      <c r="I809" s="1">
        <v>41340</v>
      </c>
      <c r="J809" s="1">
        <v>6000</v>
      </c>
    </row>
    <row r="810" spans="1:10" x14ac:dyDescent="0.3">
      <c r="A810" t="s">
        <v>119</v>
      </c>
      <c r="B810" t="s">
        <v>9</v>
      </c>
      <c r="C810" t="s">
        <v>193</v>
      </c>
      <c r="D810" t="s">
        <v>54</v>
      </c>
      <c r="E810">
        <v>86</v>
      </c>
      <c r="F810">
        <v>84</v>
      </c>
      <c r="G810" s="1">
        <v>7000</v>
      </c>
      <c r="H810" s="1">
        <v>7000</v>
      </c>
      <c r="I810" s="1">
        <v>45500</v>
      </c>
      <c r="J810" s="1">
        <v>6500</v>
      </c>
    </row>
    <row r="811" spans="1:10" x14ac:dyDescent="0.3">
      <c r="A811" t="s">
        <v>119</v>
      </c>
      <c r="B811" t="s">
        <v>8</v>
      </c>
      <c r="C811" t="s">
        <v>193</v>
      </c>
      <c r="D811" t="s">
        <v>54</v>
      </c>
      <c r="E811">
        <v>86</v>
      </c>
      <c r="F811">
        <v>84</v>
      </c>
      <c r="G811" s="1">
        <v>8000</v>
      </c>
      <c r="H811" s="1">
        <v>7600</v>
      </c>
      <c r="I811" s="1">
        <v>53428</v>
      </c>
      <c r="J811" s="1">
        <v>7030</v>
      </c>
    </row>
    <row r="812" spans="1:10" x14ac:dyDescent="0.3">
      <c r="A812" t="s">
        <v>119</v>
      </c>
      <c r="B812" t="s">
        <v>7</v>
      </c>
      <c r="C812" t="s">
        <v>193</v>
      </c>
      <c r="D812" t="s">
        <v>54</v>
      </c>
      <c r="E812">
        <v>86</v>
      </c>
      <c r="F812">
        <v>84</v>
      </c>
      <c r="G812" s="1">
        <v>8000</v>
      </c>
      <c r="H812" s="1">
        <v>7200</v>
      </c>
      <c r="I812" s="1">
        <v>54000</v>
      </c>
      <c r="J812" s="1">
        <v>7500</v>
      </c>
    </row>
    <row r="813" spans="1:10" x14ac:dyDescent="0.3">
      <c r="A813" t="s">
        <v>119</v>
      </c>
      <c r="B813" t="s">
        <v>6</v>
      </c>
      <c r="C813" t="s">
        <v>193</v>
      </c>
      <c r="D813" t="s">
        <v>54</v>
      </c>
      <c r="E813">
        <v>86</v>
      </c>
      <c r="F813">
        <v>84</v>
      </c>
      <c r="G813" s="1">
        <v>8000</v>
      </c>
      <c r="H813" s="1">
        <v>7200</v>
      </c>
      <c r="I813" s="1">
        <v>54000</v>
      </c>
      <c r="J813" s="1">
        <v>7500</v>
      </c>
    </row>
    <row r="814" spans="1:10" x14ac:dyDescent="0.3">
      <c r="A814" t="s">
        <v>119</v>
      </c>
      <c r="B814" t="s">
        <v>5</v>
      </c>
      <c r="C814" t="s">
        <v>193</v>
      </c>
      <c r="D814" t="s">
        <v>54</v>
      </c>
      <c r="E814">
        <v>86</v>
      </c>
      <c r="F814">
        <v>84</v>
      </c>
      <c r="G814" s="1">
        <v>15000</v>
      </c>
      <c r="H814" s="1">
        <v>13400</v>
      </c>
      <c r="I814" s="1">
        <v>73700</v>
      </c>
      <c r="J814" s="1">
        <v>5500</v>
      </c>
    </row>
    <row r="815" spans="1:10" x14ac:dyDescent="0.3">
      <c r="A815" t="s">
        <v>119</v>
      </c>
      <c r="B815" t="s">
        <v>4</v>
      </c>
      <c r="C815" t="s">
        <v>193</v>
      </c>
      <c r="D815" t="s">
        <v>54</v>
      </c>
      <c r="E815">
        <v>86</v>
      </c>
      <c r="F815">
        <v>84</v>
      </c>
      <c r="G815" s="1">
        <v>14000</v>
      </c>
      <c r="H815" s="1">
        <v>9300</v>
      </c>
      <c r="I815" s="1">
        <v>41850</v>
      </c>
      <c r="J815" s="1">
        <v>4500</v>
      </c>
    </row>
    <row r="816" spans="1:10" x14ac:dyDescent="0.3">
      <c r="A816" t="s">
        <v>119</v>
      </c>
      <c r="B816" t="s">
        <v>3</v>
      </c>
      <c r="C816" t="s">
        <v>193</v>
      </c>
      <c r="D816" t="s">
        <v>54</v>
      </c>
      <c r="E816">
        <v>86</v>
      </c>
      <c r="F816">
        <v>84</v>
      </c>
      <c r="G816" s="1">
        <v>9000</v>
      </c>
      <c r="H816" s="1">
        <v>6150</v>
      </c>
      <c r="I816" s="1">
        <v>34440</v>
      </c>
      <c r="J816" s="1">
        <v>5600</v>
      </c>
    </row>
    <row r="817" spans="1:10" x14ac:dyDescent="0.3">
      <c r="A817" t="s">
        <v>119</v>
      </c>
      <c r="B817" t="s">
        <v>18</v>
      </c>
      <c r="C817" t="s">
        <v>193</v>
      </c>
      <c r="D817" t="s">
        <v>70</v>
      </c>
      <c r="E817">
        <v>86</v>
      </c>
      <c r="F817">
        <v>91</v>
      </c>
      <c r="G817" s="1">
        <v>40700</v>
      </c>
      <c r="H817" s="1">
        <v>37500</v>
      </c>
      <c r="I817" s="1">
        <v>262500</v>
      </c>
      <c r="J817" s="1">
        <v>7000</v>
      </c>
    </row>
    <row r="818" spans="1:10" x14ac:dyDescent="0.3">
      <c r="A818" t="s">
        <v>119</v>
      </c>
      <c r="B818" t="s">
        <v>17</v>
      </c>
      <c r="C818" t="s">
        <v>193</v>
      </c>
      <c r="D818" t="s">
        <v>70</v>
      </c>
      <c r="E818">
        <v>86</v>
      </c>
      <c r="F818">
        <v>91</v>
      </c>
      <c r="G818" s="1">
        <v>59000</v>
      </c>
      <c r="H818" s="1">
        <v>52500</v>
      </c>
      <c r="I818" s="1">
        <v>383250</v>
      </c>
      <c r="J818" s="1">
        <v>7300</v>
      </c>
    </row>
    <row r="819" spans="1:10" x14ac:dyDescent="0.3">
      <c r="A819" t="s">
        <v>119</v>
      </c>
      <c r="B819" t="s">
        <v>14</v>
      </c>
      <c r="C819" t="s">
        <v>193</v>
      </c>
      <c r="D819" t="s">
        <v>70</v>
      </c>
      <c r="E819">
        <v>86</v>
      </c>
      <c r="F819">
        <v>91</v>
      </c>
      <c r="G819" s="1">
        <v>50000</v>
      </c>
      <c r="H819" s="1">
        <v>46500</v>
      </c>
      <c r="I819" s="1">
        <v>395250</v>
      </c>
      <c r="J819" s="1">
        <v>8500</v>
      </c>
    </row>
    <row r="820" spans="1:10" x14ac:dyDescent="0.3">
      <c r="A820" t="s">
        <v>119</v>
      </c>
      <c r="B820" t="s">
        <v>12</v>
      </c>
      <c r="C820" t="s">
        <v>193</v>
      </c>
      <c r="D820" t="s">
        <v>70</v>
      </c>
      <c r="E820">
        <v>86</v>
      </c>
      <c r="F820">
        <v>91</v>
      </c>
      <c r="G820" s="1">
        <v>70000</v>
      </c>
      <c r="H820" s="1">
        <v>65000</v>
      </c>
      <c r="I820" s="1">
        <v>455000</v>
      </c>
      <c r="J820" s="1">
        <v>7000</v>
      </c>
    </row>
    <row r="821" spans="1:10" x14ac:dyDescent="0.3">
      <c r="A821" t="s">
        <v>119</v>
      </c>
      <c r="B821" t="s">
        <v>9</v>
      </c>
      <c r="C821" t="s">
        <v>193</v>
      </c>
      <c r="D821" t="s">
        <v>70</v>
      </c>
      <c r="E821">
        <v>86</v>
      </c>
      <c r="F821">
        <v>91</v>
      </c>
      <c r="G821" s="1">
        <v>55000</v>
      </c>
      <c r="H821" s="1">
        <v>51500</v>
      </c>
      <c r="I821" s="1">
        <v>386250</v>
      </c>
      <c r="J821" s="1">
        <v>7500</v>
      </c>
    </row>
    <row r="822" spans="1:10" x14ac:dyDescent="0.3">
      <c r="A822" t="s">
        <v>119</v>
      </c>
      <c r="B822" t="s">
        <v>8</v>
      </c>
      <c r="C822" t="s">
        <v>193</v>
      </c>
      <c r="D822" t="s">
        <v>70</v>
      </c>
      <c r="E822">
        <v>86</v>
      </c>
      <c r="F822">
        <v>91</v>
      </c>
      <c r="G822" s="1">
        <v>60000</v>
      </c>
      <c r="H822" s="1">
        <v>57000</v>
      </c>
      <c r="I822" s="1">
        <v>427500</v>
      </c>
      <c r="J822" s="1">
        <v>7500</v>
      </c>
    </row>
    <row r="823" spans="1:10" x14ac:dyDescent="0.3">
      <c r="A823" t="s">
        <v>119</v>
      </c>
      <c r="B823" t="s">
        <v>7</v>
      </c>
      <c r="C823" t="s">
        <v>193</v>
      </c>
      <c r="D823" t="s">
        <v>70</v>
      </c>
      <c r="E823">
        <v>86</v>
      </c>
      <c r="F823">
        <v>91</v>
      </c>
      <c r="G823" s="1">
        <v>60000</v>
      </c>
      <c r="H823" s="1">
        <v>54000</v>
      </c>
      <c r="I823" s="1">
        <v>405000</v>
      </c>
      <c r="J823" s="1">
        <v>7500</v>
      </c>
    </row>
    <row r="824" spans="1:10" x14ac:dyDescent="0.3">
      <c r="A824" t="s">
        <v>119</v>
      </c>
      <c r="B824" t="s">
        <v>6</v>
      </c>
      <c r="C824" t="s">
        <v>193</v>
      </c>
      <c r="D824" t="s">
        <v>70</v>
      </c>
      <c r="E824">
        <v>86</v>
      </c>
      <c r="F824">
        <v>91</v>
      </c>
      <c r="G824" s="1">
        <v>55000</v>
      </c>
      <c r="H824" s="1">
        <v>49500</v>
      </c>
      <c r="I824" s="1">
        <v>371250</v>
      </c>
      <c r="J824" s="1">
        <v>7500</v>
      </c>
    </row>
    <row r="825" spans="1:10" x14ac:dyDescent="0.3">
      <c r="A825" t="s">
        <v>119</v>
      </c>
      <c r="B825" t="s">
        <v>5</v>
      </c>
      <c r="C825" t="s">
        <v>193</v>
      </c>
      <c r="D825" t="s">
        <v>70</v>
      </c>
      <c r="E825">
        <v>86</v>
      </c>
      <c r="F825">
        <v>91</v>
      </c>
      <c r="G825" s="1">
        <v>55000</v>
      </c>
      <c r="H825" s="1">
        <v>44000</v>
      </c>
      <c r="I825" s="1">
        <v>264000</v>
      </c>
      <c r="J825" s="1">
        <v>6000</v>
      </c>
    </row>
    <row r="826" spans="1:10" x14ac:dyDescent="0.3">
      <c r="A826" t="s">
        <v>119</v>
      </c>
      <c r="B826" t="s">
        <v>4</v>
      </c>
      <c r="C826" t="s">
        <v>193</v>
      </c>
      <c r="D826" t="s">
        <v>70</v>
      </c>
      <c r="E826">
        <v>86</v>
      </c>
      <c r="F826">
        <v>91</v>
      </c>
      <c r="G826" s="1">
        <v>54500</v>
      </c>
      <c r="H826" s="1">
        <v>14000</v>
      </c>
      <c r="I826" s="1">
        <v>63000</v>
      </c>
      <c r="J826" s="1">
        <v>4500</v>
      </c>
    </row>
    <row r="827" spans="1:10" x14ac:dyDescent="0.3">
      <c r="A827" t="s">
        <v>119</v>
      </c>
      <c r="B827" t="s">
        <v>3</v>
      </c>
      <c r="C827" t="s">
        <v>193</v>
      </c>
      <c r="D827" t="s">
        <v>70</v>
      </c>
      <c r="E827">
        <v>86</v>
      </c>
      <c r="F827">
        <v>91</v>
      </c>
      <c r="G827" s="1">
        <v>33000</v>
      </c>
      <c r="H827" s="1">
        <v>21600</v>
      </c>
      <c r="I827" s="1">
        <v>123120</v>
      </c>
      <c r="J827" s="1">
        <v>5700</v>
      </c>
    </row>
    <row r="828" spans="1:10" x14ac:dyDescent="0.3">
      <c r="A828" t="s">
        <v>119</v>
      </c>
      <c r="B828" t="s">
        <v>18</v>
      </c>
      <c r="C828" t="s">
        <v>193</v>
      </c>
      <c r="D828" t="s">
        <v>69</v>
      </c>
      <c r="E828">
        <v>86</v>
      </c>
      <c r="F828">
        <v>98</v>
      </c>
      <c r="G828" s="1">
        <v>44000</v>
      </c>
      <c r="H828" s="1">
        <v>42000</v>
      </c>
      <c r="I828" s="1">
        <v>273000</v>
      </c>
      <c r="J828" s="1">
        <v>6500</v>
      </c>
    </row>
    <row r="829" spans="1:10" x14ac:dyDescent="0.3">
      <c r="A829" t="s">
        <v>119</v>
      </c>
      <c r="B829" t="s">
        <v>17</v>
      </c>
      <c r="C829" t="s">
        <v>193</v>
      </c>
      <c r="D829" t="s">
        <v>69</v>
      </c>
      <c r="E829">
        <v>86</v>
      </c>
      <c r="F829">
        <v>98</v>
      </c>
      <c r="G829" s="1">
        <v>52500</v>
      </c>
      <c r="H829" s="1">
        <v>46830</v>
      </c>
      <c r="I829" s="1">
        <v>318444</v>
      </c>
      <c r="J829" s="1">
        <v>6800</v>
      </c>
    </row>
    <row r="830" spans="1:10" x14ac:dyDescent="0.3">
      <c r="A830" t="s">
        <v>119</v>
      </c>
      <c r="B830" t="s">
        <v>14</v>
      </c>
      <c r="C830" t="s">
        <v>193</v>
      </c>
      <c r="D830" t="s">
        <v>69</v>
      </c>
      <c r="E830">
        <v>86</v>
      </c>
      <c r="F830">
        <v>98</v>
      </c>
      <c r="G830" s="1">
        <v>55000</v>
      </c>
      <c r="H830" s="1">
        <v>50900</v>
      </c>
      <c r="I830" s="1">
        <v>341030</v>
      </c>
      <c r="J830" s="1">
        <v>6700</v>
      </c>
    </row>
    <row r="831" spans="1:10" x14ac:dyDescent="0.3">
      <c r="A831" t="s">
        <v>119</v>
      </c>
      <c r="B831" t="s">
        <v>12</v>
      </c>
      <c r="C831" t="s">
        <v>193</v>
      </c>
      <c r="D831" t="s">
        <v>69</v>
      </c>
      <c r="E831">
        <v>86</v>
      </c>
      <c r="F831">
        <v>98</v>
      </c>
      <c r="G831" s="1">
        <v>62000</v>
      </c>
      <c r="H831" s="1">
        <v>54680</v>
      </c>
      <c r="I831" s="1">
        <v>300740</v>
      </c>
      <c r="J831" s="1">
        <v>5500</v>
      </c>
    </row>
    <row r="832" spans="1:10" x14ac:dyDescent="0.3">
      <c r="A832" t="s">
        <v>119</v>
      </c>
      <c r="B832" t="s">
        <v>9</v>
      </c>
      <c r="C832" t="s">
        <v>193</v>
      </c>
      <c r="D832" t="s">
        <v>69</v>
      </c>
      <c r="E832">
        <v>86</v>
      </c>
      <c r="F832">
        <v>98</v>
      </c>
      <c r="G832" s="1">
        <v>63000</v>
      </c>
      <c r="H832" s="1">
        <v>58860</v>
      </c>
      <c r="I832" s="1">
        <v>400248</v>
      </c>
      <c r="J832" s="1">
        <v>6800</v>
      </c>
    </row>
    <row r="833" spans="1:10" x14ac:dyDescent="0.3">
      <c r="A833" t="s">
        <v>119</v>
      </c>
      <c r="B833" t="s">
        <v>8</v>
      </c>
      <c r="C833" t="s">
        <v>193</v>
      </c>
      <c r="D833" t="s">
        <v>69</v>
      </c>
      <c r="E833">
        <v>86</v>
      </c>
      <c r="F833">
        <v>98</v>
      </c>
      <c r="G833" s="1">
        <v>75000</v>
      </c>
      <c r="H833" s="1">
        <v>71580</v>
      </c>
      <c r="I833" s="1">
        <v>533987</v>
      </c>
      <c r="J833" s="1">
        <v>7460</v>
      </c>
    </row>
    <row r="834" spans="1:10" x14ac:dyDescent="0.3">
      <c r="A834" t="s">
        <v>119</v>
      </c>
      <c r="B834" t="s">
        <v>7</v>
      </c>
      <c r="C834" t="s">
        <v>193</v>
      </c>
      <c r="D834" t="s">
        <v>69</v>
      </c>
      <c r="E834">
        <v>86</v>
      </c>
      <c r="F834">
        <v>98</v>
      </c>
      <c r="G834" s="1">
        <v>64000</v>
      </c>
      <c r="H834" s="1">
        <v>60885</v>
      </c>
      <c r="I834" s="1">
        <v>450549</v>
      </c>
      <c r="J834" s="1">
        <v>7400</v>
      </c>
    </row>
    <row r="835" spans="1:10" x14ac:dyDescent="0.3">
      <c r="A835" t="s">
        <v>119</v>
      </c>
      <c r="B835" t="s">
        <v>6</v>
      </c>
      <c r="C835" t="s">
        <v>193</v>
      </c>
      <c r="D835" t="s">
        <v>69</v>
      </c>
      <c r="E835">
        <v>86</v>
      </c>
      <c r="F835">
        <v>98</v>
      </c>
      <c r="G835" s="1">
        <v>68000</v>
      </c>
      <c r="H835" s="1">
        <v>60470</v>
      </c>
      <c r="I835" s="1">
        <v>441431</v>
      </c>
      <c r="J835" s="1">
        <v>7300</v>
      </c>
    </row>
    <row r="836" spans="1:10" x14ac:dyDescent="0.3">
      <c r="A836" t="s">
        <v>119</v>
      </c>
      <c r="B836" t="s">
        <v>5</v>
      </c>
      <c r="C836" t="s">
        <v>193</v>
      </c>
      <c r="D836" t="s">
        <v>69</v>
      </c>
      <c r="E836">
        <v>86</v>
      </c>
      <c r="F836">
        <v>98</v>
      </c>
      <c r="G836" s="1">
        <v>68000</v>
      </c>
      <c r="H836" s="1">
        <v>61948</v>
      </c>
      <c r="I836" s="1">
        <v>396467</v>
      </c>
      <c r="J836" s="1">
        <v>6400</v>
      </c>
    </row>
    <row r="837" spans="1:10" x14ac:dyDescent="0.3">
      <c r="A837" t="s">
        <v>119</v>
      </c>
      <c r="B837" t="s">
        <v>4</v>
      </c>
      <c r="C837" t="s">
        <v>193</v>
      </c>
      <c r="D837" t="s">
        <v>69</v>
      </c>
      <c r="E837">
        <v>86</v>
      </c>
      <c r="F837">
        <v>98</v>
      </c>
      <c r="G837" s="1">
        <v>70200</v>
      </c>
      <c r="H837" s="1">
        <v>49110</v>
      </c>
      <c r="I837" s="1">
        <v>137508</v>
      </c>
      <c r="J837" s="1">
        <v>2800</v>
      </c>
    </row>
    <row r="838" spans="1:10" x14ac:dyDescent="0.3">
      <c r="A838" t="s">
        <v>119</v>
      </c>
      <c r="B838" t="s">
        <v>3</v>
      </c>
      <c r="C838" t="s">
        <v>193</v>
      </c>
      <c r="D838" t="s">
        <v>69</v>
      </c>
      <c r="E838">
        <v>86</v>
      </c>
      <c r="F838">
        <v>98</v>
      </c>
      <c r="G838" s="1">
        <v>31980</v>
      </c>
      <c r="H838" s="1">
        <v>26170</v>
      </c>
      <c r="I838" s="1">
        <v>128233</v>
      </c>
      <c r="J838" s="1">
        <v>4900</v>
      </c>
    </row>
    <row r="839" spans="1:10" x14ac:dyDescent="0.3">
      <c r="A839" t="s">
        <v>119</v>
      </c>
      <c r="B839" t="s">
        <v>18</v>
      </c>
      <c r="C839" t="s">
        <v>193</v>
      </c>
      <c r="D839" t="s">
        <v>31</v>
      </c>
      <c r="E839">
        <v>86</v>
      </c>
      <c r="F839">
        <v>105</v>
      </c>
      <c r="G839" s="1">
        <v>1500</v>
      </c>
      <c r="H839" s="1">
        <v>1000</v>
      </c>
      <c r="I839" s="1">
        <v>5500</v>
      </c>
      <c r="J839" s="1">
        <v>5500</v>
      </c>
    </row>
    <row r="840" spans="1:10" x14ac:dyDescent="0.3">
      <c r="A840" t="s">
        <v>119</v>
      </c>
      <c r="B840" t="s">
        <v>17</v>
      </c>
      <c r="C840" t="s">
        <v>193</v>
      </c>
      <c r="D840" t="s">
        <v>31</v>
      </c>
      <c r="E840">
        <v>86</v>
      </c>
      <c r="F840">
        <v>105</v>
      </c>
      <c r="G840" s="1">
        <v>1000</v>
      </c>
      <c r="H840" s="1">
        <v>870</v>
      </c>
      <c r="I840" s="1">
        <v>5481</v>
      </c>
      <c r="J840" s="1">
        <v>6300</v>
      </c>
    </row>
    <row r="841" spans="1:10" x14ac:dyDescent="0.3">
      <c r="A841" t="s">
        <v>119</v>
      </c>
      <c r="B841" t="s">
        <v>14</v>
      </c>
      <c r="C841" t="s">
        <v>193</v>
      </c>
      <c r="D841" t="s">
        <v>31</v>
      </c>
      <c r="E841">
        <v>86</v>
      </c>
      <c r="F841">
        <v>105</v>
      </c>
      <c r="G841" s="1">
        <v>3000</v>
      </c>
      <c r="H841" s="1">
        <v>2600</v>
      </c>
      <c r="I841" s="1">
        <v>19500</v>
      </c>
      <c r="J841" s="1">
        <v>7500</v>
      </c>
    </row>
    <row r="842" spans="1:10" x14ac:dyDescent="0.3">
      <c r="A842" t="s">
        <v>119</v>
      </c>
      <c r="B842" t="s">
        <v>12</v>
      </c>
      <c r="C842" t="s">
        <v>193</v>
      </c>
      <c r="D842" t="s">
        <v>31</v>
      </c>
      <c r="E842">
        <v>86</v>
      </c>
      <c r="F842">
        <v>105</v>
      </c>
      <c r="G842" s="1">
        <v>3000</v>
      </c>
      <c r="H842" s="1">
        <v>2170</v>
      </c>
      <c r="I842" s="1">
        <v>14105</v>
      </c>
      <c r="J842" s="1">
        <v>6500</v>
      </c>
    </row>
    <row r="843" spans="1:10" x14ac:dyDescent="0.3">
      <c r="A843" t="s">
        <v>119</v>
      </c>
      <c r="B843" t="s">
        <v>9</v>
      </c>
      <c r="C843" t="s">
        <v>193</v>
      </c>
      <c r="D843" t="s">
        <v>31</v>
      </c>
      <c r="E843">
        <v>86</v>
      </c>
      <c r="F843">
        <v>105</v>
      </c>
      <c r="G843" s="1">
        <v>2500</v>
      </c>
      <c r="H843" s="1">
        <v>2500</v>
      </c>
      <c r="I843" s="1">
        <v>16250</v>
      </c>
      <c r="J843" s="1">
        <v>6500</v>
      </c>
    </row>
    <row r="844" spans="1:10" x14ac:dyDescent="0.3">
      <c r="A844" t="s">
        <v>119</v>
      </c>
      <c r="B844" t="s">
        <v>8</v>
      </c>
      <c r="C844" t="s">
        <v>193</v>
      </c>
      <c r="D844" t="s">
        <v>31</v>
      </c>
      <c r="E844">
        <v>86</v>
      </c>
      <c r="F844">
        <v>105</v>
      </c>
      <c r="G844" s="1">
        <v>3000</v>
      </c>
      <c r="H844" s="1">
        <v>2850</v>
      </c>
      <c r="I844" s="1">
        <v>20036</v>
      </c>
      <c r="J844" s="1">
        <v>7030</v>
      </c>
    </row>
    <row r="845" spans="1:10" x14ac:dyDescent="0.3">
      <c r="A845" t="s">
        <v>119</v>
      </c>
      <c r="B845" t="s">
        <v>7</v>
      </c>
      <c r="C845" t="s">
        <v>193</v>
      </c>
      <c r="D845" t="s">
        <v>31</v>
      </c>
      <c r="E845">
        <v>86</v>
      </c>
      <c r="F845">
        <v>105</v>
      </c>
      <c r="G845" s="1">
        <v>3000</v>
      </c>
      <c r="H845" s="1">
        <v>2700</v>
      </c>
      <c r="I845" s="1">
        <v>20250</v>
      </c>
      <c r="J845" s="1">
        <v>7500</v>
      </c>
    </row>
    <row r="846" spans="1:10" x14ac:dyDescent="0.3">
      <c r="A846" t="s">
        <v>119</v>
      </c>
      <c r="B846" t="s">
        <v>6</v>
      </c>
      <c r="C846" t="s">
        <v>193</v>
      </c>
      <c r="D846" t="s">
        <v>31</v>
      </c>
      <c r="E846">
        <v>86</v>
      </c>
      <c r="F846">
        <v>105</v>
      </c>
      <c r="G846" s="1">
        <v>3000</v>
      </c>
      <c r="H846" s="1">
        <v>2700</v>
      </c>
      <c r="I846" s="1">
        <v>20250</v>
      </c>
      <c r="J846" s="1">
        <v>7500</v>
      </c>
    </row>
    <row r="847" spans="1:10" x14ac:dyDescent="0.3">
      <c r="A847" t="s">
        <v>119</v>
      </c>
      <c r="B847" t="s">
        <v>5</v>
      </c>
      <c r="C847" t="s">
        <v>193</v>
      </c>
      <c r="D847" t="s">
        <v>31</v>
      </c>
      <c r="E847">
        <v>86</v>
      </c>
      <c r="F847">
        <v>105</v>
      </c>
      <c r="G847" s="1">
        <v>12000</v>
      </c>
      <c r="H847" s="1">
        <v>11200</v>
      </c>
      <c r="I847" s="1">
        <v>61600</v>
      </c>
      <c r="J847" s="1">
        <v>5500</v>
      </c>
    </row>
    <row r="848" spans="1:10" x14ac:dyDescent="0.3">
      <c r="A848" t="s">
        <v>119</v>
      </c>
      <c r="B848" t="s">
        <v>4</v>
      </c>
      <c r="C848" t="s">
        <v>193</v>
      </c>
      <c r="D848" t="s">
        <v>31</v>
      </c>
      <c r="E848">
        <v>86</v>
      </c>
      <c r="F848">
        <v>105</v>
      </c>
      <c r="G848" s="1">
        <v>11000</v>
      </c>
      <c r="H848" s="1">
        <v>6900</v>
      </c>
      <c r="I848" s="1">
        <v>31050</v>
      </c>
      <c r="J848" s="1">
        <v>4500</v>
      </c>
    </row>
    <row r="849" spans="1:10" x14ac:dyDescent="0.3">
      <c r="A849" t="s">
        <v>119</v>
      </c>
      <c r="B849" t="s">
        <v>3</v>
      </c>
      <c r="C849" t="s">
        <v>193</v>
      </c>
      <c r="D849" t="s">
        <v>31</v>
      </c>
      <c r="E849">
        <v>86</v>
      </c>
      <c r="F849">
        <v>105</v>
      </c>
      <c r="G849" s="1">
        <v>7200</v>
      </c>
      <c r="H849" s="1">
        <v>4860</v>
      </c>
      <c r="I849" s="1">
        <v>26730</v>
      </c>
      <c r="J849" s="1">
        <v>5500</v>
      </c>
    </row>
    <row r="850" spans="1:10" x14ac:dyDescent="0.3">
      <c r="A850" t="s">
        <v>119</v>
      </c>
      <c r="B850" t="s">
        <v>18</v>
      </c>
      <c r="C850" t="s">
        <v>193</v>
      </c>
      <c r="D850" t="s">
        <v>56</v>
      </c>
      <c r="E850">
        <v>86</v>
      </c>
      <c r="F850">
        <v>112</v>
      </c>
      <c r="G850" s="1">
        <v>10000</v>
      </c>
      <c r="H850" s="1">
        <v>8000</v>
      </c>
      <c r="I850" s="1">
        <v>60000</v>
      </c>
      <c r="J850" s="1">
        <v>7500</v>
      </c>
    </row>
    <row r="851" spans="1:10" x14ac:dyDescent="0.3">
      <c r="A851" t="s">
        <v>119</v>
      </c>
      <c r="B851" t="s">
        <v>17</v>
      </c>
      <c r="C851" t="s">
        <v>193</v>
      </c>
      <c r="D851" t="s">
        <v>56</v>
      </c>
      <c r="E851">
        <v>86</v>
      </c>
      <c r="F851">
        <v>112</v>
      </c>
      <c r="G851" s="1">
        <v>8000</v>
      </c>
      <c r="H851" s="1">
        <v>6960</v>
      </c>
      <c r="I851" s="1">
        <v>50808</v>
      </c>
      <c r="J851" s="1">
        <v>7300</v>
      </c>
    </row>
    <row r="852" spans="1:10" x14ac:dyDescent="0.3">
      <c r="A852" t="s">
        <v>119</v>
      </c>
      <c r="B852" t="s">
        <v>14</v>
      </c>
      <c r="C852" t="s">
        <v>193</v>
      </c>
      <c r="D852" t="s">
        <v>56</v>
      </c>
      <c r="E852">
        <v>86</v>
      </c>
      <c r="F852">
        <v>112</v>
      </c>
      <c r="G852" s="1">
        <v>10000</v>
      </c>
      <c r="H852" s="1">
        <v>9300</v>
      </c>
      <c r="I852" s="1">
        <v>79050</v>
      </c>
      <c r="J852" s="1">
        <v>8500</v>
      </c>
    </row>
    <row r="853" spans="1:10" x14ac:dyDescent="0.3">
      <c r="A853" t="s">
        <v>119</v>
      </c>
      <c r="B853" t="s">
        <v>12</v>
      </c>
      <c r="C853" t="s">
        <v>193</v>
      </c>
      <c r="D853" t="s">
        <v>56</v>
      </c>
      <c r="E853">
        <v>86</v>
      </c>
      <c r="F853">
        <v>112</v>
      </c>
      <c r="G853" s="1">
        <v>15000</v>
      </c>
      <c r="H853" s="1">
        <v>10800</v>
      </c>
      <c r="I853" s="1">
        <v>43200</v>
      </c>
      <c r="J853" s="1">
        <v>4000</v>
      </c>
    </row>
    <row r="854" spans="1:10" x14ac:dyDescent="0.3">
      <c r="A854" t="s">
        <v>119</v>
      </c>
      <c r="B854" t="s">
        <v>9</v>
      </c>
      <c r="C854" t="s">
        <v>193</v>
      </c>
      <c r="D854" t="s">
        <v>56</v>
      </c>
      <c r="E854">
        <v>86</v>
      </c>
      <c r="F854">
        <v>112</v>
      </c>
      <c r="G854" s="1">
        <v>10000</v>
      </c>
      <c r="H854" s="1">
        <v>10000</v>
      </c>
      <c r="I854" s="1">
        <v>70000</v>
      </c>
      <c r="J854" s="1">
        <v>7000</v>
      </c>
    </row>
    <row r="855" spans="1:10" x14ac:dyDescent="0.3">
      <c r="A855" t="s">
        <v>119</v>
      </c>
      <c r="B855" t="s">
        <v>8</v>
      </c>
      <c r="C855" t="s">
        <v>193</v>
      </c>
      <c r="D855" t="s">
        <v>56</v>
      </c>
      <c r="E855">
        <v>86</v>
      </c>
      <c r="F855">
        <v>112</v>
      </c>
      <c r="G855" s="1">
        <v>15000</v>
      </c>
      <c r="H855" s="1">
        <v>14250</v>
      </c>
      <c r="I855" s="1">
        <v>100178</v>
      </c>
      <c r="J855" s="1">
        <v>7030</v>
      </c>
    </row>
    <row r="856" spans="1:10" x14ac:dyDescent="0.3">
      <c r="A856" t="s">
        <v>119</v>
      </c>
      <c r="B856" t="s">
        <v>7</v>
      </c>
      <c r="C856" t="s">
        <v>193</v>
      </c>
      <c r="D856" t="s">
        <v>56</v>
      </c>
      <c r="E856">
        <v>86</v>
      </c>
      <c r="F856">
        <v>112</v>
      </c>
      <c r="G856" s="1">
        <v>15000</v>
      </c>
      <c r="H856" s="1">
        <v>13500</v>
      </c>
      <c r="I856" s="1">
        <v>101250</v>
      </c>
      <c r="J856" s="1">
        <v>7500</v>
      </c>
    </row>
    <row r="857" spans="1:10" x14ac:dyDescent="0.3">
      <c r="A857" t="s">
        <v>119</v>
      </c>
      <c r="B857" t="s">
        <v>6</v>
      </c>
      <c r="C857" t="s">
        <v>193</v>
      </c>
      <c r="D857" t="s">
        <v>56</v>
      </c>
      <c r="E857">
        <v>86</v>
      </c>
      <c r="F857">
        <v>112</v>
      </c>
      <c r="G857" s="1">
        <v>15000</v>
      </c>
      <c r="H857" s="1">
        <v>13500</v>
      </c>
      <c r="I857" s="1">
        <v>101250</v>
      </c>
      <c r="J857" s="1">
        <v>7500</v>
      </c>
    </row>
    <row r="858" spans="1:10" x14ac:dyDescent="0.3">
      <c r="A858" t="s">
        <v>119</v>
      </c>
      <c r="B858" t="s">
        <v>5</v>
      </c>
      <c r="C858" t="s">
        <v>193</v>
      </c>
      <c r="D858" t="s">
        <v>56</v>
      </c>
      <c r="E858">
        <v>86</v>
      </c>
      <c r="F858">
        <v>112</v>
      </c>
      <c r="G858" s="1">
        <v>15000</v>
      </c>
      <c r="H858" s="1">
        <v>12000</v>
      </c>
      <c r="I858" s="1">
        <v>66000</v>
      </c>
      <c r="J858" s="1">
        <v>5500</v>
      </c>
    </row>
    <row r="859" spans="1:10" x14ac:dyDescent="0.3">
      <c r="A859" t="s">
        <v>119</v>
      </c>
      <c r="B859" t="s">
        <v>4</v>
      </c>
      <c r="C859" t="s">
        <v>193</v>
      </c>
      <c r="D859" t="s">
        <v>56</v>
      </c>
      <c r="E859">
        <v>86</v>
      </c>
      <c r="F859">
        <v>112</v>
      </c>
      <c r="G859" s="1">
        <v>15000</v>
      </c>
      <c r="H859" s="1">
        <v>10500</v>
      </c>
      <c r="I859" s="1">
        <v>47250</v>
      </c>
      <c r="J859" s="1">
        <v>4500</v>
      </c>
    </row>
    <row r="860" spans="1:10" x14ac:dyDescent="0.3">
      <c r="A860" t="s">
        <v>119</v>
      </c>
      <c r="B860" t="s">
        <v>3</v>
      </c>
      <c r="C860" t="s">
        <v>193</v>
      </c>
      <c r="D860" t="s">
        <v>56</v>
      </c>
      <c r="E860">
        <v>86</v>
      </c>
      <c r="F860">
        <v>112</v>
      </c>
      <c r="G860" s="1">
        <v>9000</v>
      </c>
      <c r="H860" s="1">
        <v>6170</v>
      </c>
      <c r="I860" s="1">
        <v>35786</v>
      </c>
      <c r="J860" s="1">
        <v>5800</v>
      </c>
    </row>
    <row r="861" spans="1:10" x14ac:dyDescent="0.3">
      <c r="A861" t="s">
        <v>119</v>
      </c>
      <c r="B861" t="s">
        <v>18</v>
      </c>
      <c r="C861" t="s">
        <v>193</v>
      </c>
      <c r="D861" t="s">
        <v>72</v>
      </c>
      <c r="E861">
        <v>86</v>
      </c>
      <c r="F861">
        <v>119</v>
      </c>
      <c r="G861" s="1">
        <v>140000</v>
      </c>
      <c r="H861" s="1">
        <v>115000</v>
      </c>
      <c r="I861" s="1">
        <v>667000</v>
      </c>
      <c r="J861" s="1">
        <v>5800</v>
      </c>
    </row>
    <row r="862" spans="1:10" x14ac:dyDescent="0.3">
      <c r="A862" t="s">
        <v>119</v>
      </c>
      <c r="B862" t="s">
        <v>17</v>
      </c>
      <c r="C862" t="s">
        <v>193</v>
      </c>
      <c r="D862" t="s">
        <v>72</v>
      </c>
      <c r="E862">
        <v>86</v>
      </c>
      <c r="F862">
        <v>119</v>
      </c>
      <c r="G862" s="1">
        <v>200000</v>
      </c>
      <c r="H862" s="1">
        <v>178360</v>
      </c>
      <c r="I862" s="1">
        <v>1302028</v>
      </c>
      <c r="J862" s="1">
        <v>7300</v>
      </c>
    </row>
    <row r="863" spans="1:10" x14ac:dyDescent="0.3">
      <c r="A863" t="s">
        <v>119</v>
      </c>
      <c r="B863" t="s">
        <v>14</v>
      </c>
      <c r="C863" t="s">
        <v>193</v>
      </c>
      <c r="D863" t="s">
        <v>72</v>
      </c>
      <c r="E863">
        <v>86</v>
      </c>
      <c r="F863">
        <v>119</v>
      </c>
      <c r="G863" s="1">
        <v>220000</v>
      </c>
      <c r="H863" s="1">
        <v>205400</v>
      </c>
      <c r="I863" s="1">
        <v>1396720</v>
      </c>
      <c r="J863" s="1">
        <v>6800</v>
      </c>
    </row>
    <row r="864" spans="1:10" x14ac:dyDescent="0.3">
      <c r="A864" t="s">
        <v>119</v>
      </c>
      <c r="B864" t="s">
        <v>12</v>
      </c>
      <c r="C864" t="s">
        <v>193</v>
      </c>
      <c r="D864" t="s">
        <v>72</v>
      </c>
      <c r="E864">
        <v>86</v>
      </c>
      <c r="F864">
        <v>119</v>
      </c>
      <c r="G864" s="1">
        <v>220580</v>
      </c>
      <c r="H864" s="1">
        <v>189260</v>
      </c>
      <c r="I864" s="1">
        <v>1040930</v>
      </c>
      <c r="J864" s="1">
        <v>5500</v>
      </c>
    </row>
    <row r="865" spans="1:10" x14ac:dyDescent="0.3">
      <c r="A865" t="s">
        <v>119</v>
      </c>
      <c r="B865" t="s">
        <v>9</v>
      </c>
      <c r="C865" t="s">
        <v>193</v>
      </c>
      <c r="D865" t="s">
        <v>72</v>
      </c>
      <c r="E865">
        <v>86</v>
      </c>
      <c r="F865">
        <v>119</v>
      </c>
      <c r="G865" s="1">
        <v>240000</v>
      </c>
      <c r="H865" s="1">
        <v>220500</v>
      </c>
      <c r="I865" s="1">
        <v>1433250</v>
      </c>
      <c r="J865" s="1">
        <v>6500</v>
      </c>
    </row>
    <row r="866" spans="1:10" x14ac:dyDescent="0.3">
      <c r="A866" t="s">
        <v>119</v>
      </c>
      <c r="B866" t="s">
        <v>8</v>
      </c>
      <c r="C866" t="s">
        <v>193</v>
      </c>
      <c r="D866" t="s">
        <v>72</v>
      </c>
      <c r="E866">
        <v>86</v>
      </c>
      <c r="F866">
        <v>119</v>
      </c>
      <c r="G866" s="1">
        <v>246900</v>
      </c>
      <c r="H866" s="1">
        <v>234145</v>
      </c>
      <c r="I866" s="1">
        <v>1723307</v>
      </c>
      <c r="J866" s="1">
        <v>7360</v>
      </c>
    </row>
    <row r="867" spans="1:10" x14ac:dyDescent="0.3">
      <c r="A867" t="s">
        <v>119</v>
      </c>
      <c r="B867" t="s">
        <v>7</v>
      </c>
      <c r="C867" t="s">
        <v>193</v>
      </c>
      <c r="D867" t="s">
        <v>72</v>
      </c>
      <c r="E867">
        <v>86</v>
      </c>
      <c r="F867">
        <v>119</v>
      </c>
      <c r="G867" s="1">
        <v>221000</v>
      </c>
      <c r="H867" s="1">
        <v>209450</v>
      </c>
      <c r="I867" s="1">
        <v>1539458</v>
      </c>
      <c r="J867" s="1">
        <v>7350</v>
      </c>
    </row>
    <row r="868" spans="1:10" x14ac:dyDescent="0.3">
      <c r="A868" t="s">
        <v>119</v>
      </c>
      <c r="B868" t="s">
        <v>6</v>
      </c>
      <c r="C868" t="s">
        <v>193</v>
      </c>
      <c r="D868" t="s">
        <v>72</v>
      </c>
      <c r="E868">
        <v>86</v>
      </c>
      <c r="F868">
        <v>119</v>
      </c>
      <c r="G868" s="1">
        <v>240500</v>
      </c>
      <c r="H868" s="1">
        <v>230570</v>
      </c>
      <c r="I868" s="1">
        <v>1729275</v>
      </c>
      <c r="J868" s="1">
        <v>7500</v>
      </c>
    </row>
    <row r="869" spans="1:10" x14ac:dyDescent="0.3">
      <c r="A869" t="s">
        <v>119</v>
      </c>
      <c r="B869" t="s">
        <v>5</v>
      </c>
      <c r="C869" t="s">
        <v>193</v>
      </c>
      <c r="D869" t="s">
        <v>72</v>
      </c>
      <c r="E869">
        <v>86</v>
      </c>
      <c r="F869">
        <v>119</v>
      </c>
      <c r="G869" s="1">
        <v>240500</v>
      </c>
      <c r="H869" s="1">
        <v>219096</v>
      </c>
      <c r="I869" s="1">
        <v>1424121</v>
      </c>
      <c r="J869" s="1">
        <v>6500</v>
      </c>
    </row>
    <row r="870" spans="1:10" x14ac:dyDescent="0.3">
      <c r="A870" t="s">
        <v>119</v>
      </c>
      <c r="B870" t="s">
        <v>4</v>
      </c>
      <c r="C870" t="s">
        <v>193</v>
      </c>
      <c r="D870" t="s">
        <v>72</v>
      </c>
      <c r="E870">
        <v>86</v>
      </c>
      <c r="F870">
        <v>119</v>
      </c>
      <c r="G870" s="1">
        <v>244100</v>
      </c>
      <c r="H870" s="1">
        <v>168950</v>
      </c>
      <c r="I870" s="1">
        <v>422375</v>
      </c>
      <c r="J870" s="1">
        <v>2500</v>
      </c>
    </row>
    <row r="871" spans="1:10" x14ac:dyDescent="0.3">
      <c r="A871" t="s">
        <v>119</v>
      </c>
      <c r="B871" t="s">
        <v>3</v>
      </c>
      <c r="C871" t="s">
        <v>193</v>
      </c>
      <c r="D871" t="s">
        <v>72</v>
      </c>
      <c r="E871">
        <v>86</v>
      </c>
      <c r="F871">
        <v>119</v>
      </c>
      <c r="G871" s="1">
        <v>222500</v>
      </c>
      <c r="H871" s="1">
        <v>178880</v>
      </c>
      <c r="I871" s="1">
        <v>482976</v>
      </c>
      <c r="J871" s="1">
        <v>2700</v>
      </c>
    </row>
    <row r="872" spans="1:10" x14ac:dyDescent="0.3">
      <c r="A872" t="s">
        <v>119</v>
      </c>
      <c r="B872" t="s">
        <v>7</v>
      </c>
      <c r="C872" t="s">
        <v>193</v>
      </c>
      <c r="D872" t="s">
        <v>46</v>
      </c>
      <c r="E872">
        <v>86</v>
      </c>
      <c r="F872">
        <v>126</v>
      </c>
      <c r="G872" s="1">
        <v>1700</v>
      </c>
      <c r="H872" s="1">
        <v>1530</v>
      </c>
      <c r="I872" s="1">
        <v>10710</v>
      </c>
      <c r="J872" s="1">
        <v>7000</v>
      </c>
    </row>
    <row r="873" spans="1:10" x14ac:dyDescent="0.3">
      <c r="A873" t="s">
        <v>119</v>
      </c>
      <c r="B873" t="s">
        <v>6</v>
      </c>
      <c r="C873" t="s">
        <v>193</v>
      </c>
      <c r="D873" t="s">
        <v>46</v>
      </c>
      <c r="E873">
        <v>86</v>
      </c>
      <c r="F873">
        <v>126</v>
      </c>
      <c r="G873" s="1">
        <v>1500</v>
      </c>
      <c r="H873" s="1">
        <v>1500</v>
      </c>
      <c r="I873" s="1">
        <v>0</v>
      </c>
      <c r="J873" s="1">
        <v>0</v>
      </c>
    </row>
    <row r="874" spans="1:10" x14ac:dyDescent="0.3">
      <c r="A874" t="s">
        <v>119</v>
      </c>
      <c r="B874" t="s">
        <v>18</v>
      </c>
      <c r="C874" t="s">
        <v>193</v>
      </c>
      <c r="D874" t="s">
        <v>68</v>
      </c>
      <c r="E874">
        <v>86</v>
      </c>
      <c r="F874">
        <v>133</v>
      </c>
      <c r="G874" s="1">
        <v>31900</v>
      </c>
      <c r="H874" s="1">
        <v>28100</v>
      </c>
      <c r="I874" s="1">
        <v>196700</v>
      </c>
      <c r="J874" s="1">
        <v>7000</v>
      </c>
    </row>
    <row r="875" spans="1:10" x14ac:dyDescent="0.3">
      <c r="A875" t="s">
        <v>119</v>
      </c>
      <c r="B875" t="s">
        <v>17</v>
      </c>
      <c r="C875" t="s">
        <v>193</v>
      </c>
      <c r="D875" t="s">
        <v>68</v>
      </c>
      <c r="E875">
        <v>86</v>
      </c>
      <c r="F875">
        <v>133</v>
      </c>
      <c r="G875" s="1">
        <v>34700</v>
      </c>
      <c r="H875" s="1">
        <v>30800</v>
      </c>
      <c r="I875" s="1">
        <v>224840</v>
      </c>
      <c r="J875" s="1">
        <v>7300</v>
      </c>
    </row>
    <row r="876" spans="1:10" x14ac:dyDescent="0.3">
      <c r="A876" t="s">
        <v>119</v>
      </c>
      <c r="B876" t="s">
        <v>14</v>
      </c>
      <c r="C876" t="s">
        <v>193</v>
      </c>
      <c r="D876" t="s">
        <v>68</v>
      </c>
      <c r="E876">
        <v>86</v>
      </c>
      <c r="F876">
        <v>133</v>
      </c>
      <c r="G876" s="1">
        <v>50000</v>
      </c>
      <c r="H876" s="1">
        <v>46000</v>
      </c>
      <c r="I876" s="1">
        <v>391000</v>
      </c>
      <c r="J876" s="1">
        <v>8500</v>
      </c>
    </row>
    <row r="877" spans="1:10" x14ac:dyDescent="0.3">
      <c r="A877" t="s">
        <v>119</v>
      </c>
      <c r="B877" t="s">
        <v>12</v>
      </c>
      <c r="C877" t="s">
        <v>193</v>
      </c>
      <c r="D877" t="s">
        <v>68</v>
      </c>
      <c r="E877">
        <v>86</v>
      </c>
      <c r="F877">
        <v>133</v>
      </c>
      <c r="G877" s="1">
        <v>60000</v>
      </c>
      <c r="H877" s="1">
        <v>55000</v>
      </c>
      <c r="I877" s="1">
        <v>385000</v>
      </c>
      <c r="J877" s="1">
        <v>7000</v>
      </c>
    </row>
    <row r="878" spans="1:10" x14ac:dyDescent="0.3">
      <c r="A878" t="s">
        <v>119</v>
      </c>
      <c r="B878" t="s">
        <v>9</v>
      </c>
      <c r="C878" t="s">
        <v>193</v>
      </c>
      <c r="D878" t="s">
        <v>68</v>
      </c>
      <c r="E878">
        <v>86</v>
      </c>
      <c r="F878">
        <v>133</v>
      </c>
      <c r="G878" s="1">
        <v>50000</v>
      </c>
      <c r="H878" s="1">
        <v>47000</v>
      </c>
      <c r="I878" s="1">
        <v>338400</v>
      </c>
      <c r="J878" s="1">
        <v>7200</v>
      </c>
    </row>
    <row r="879" spans="1:10" x14ac:dyDescent="0.3">
      <c r="A879" t="s">
        <v>119</v>
      </c>
      <c r="B879" t="s">
        <v>8</v>
      </c>
      <c r="C879" t="s">
        <v>193</v>
      </c>
      <c r="D879" t="s">
        <v>68</v>
      </c>
      <c r="E879">
        <v>86</v>
      </c>
      <c r="F879">
        <v>133</v>
      </c>
      <c r="G879" s="1">
        <v>50000</v>
      </c>
      <c r="H879" s="1">
        <v>47500</v>
      </c>
      <c r="I879" s="1">
        <v>333925</v>
      </c>
      <c r="J879" s="1">
        <v>7030</v>
      </c>
    </row>
    <row r="880" spans="1:10" x14ac:dyDescent="0.3">
      <c r="A880" t="s">
        <v>119</v>
      </c>
      <c r="B880" t="s">
        <v>7</v>
      </c>
      <c r="C880" t="s">
        <v>193</v>
      </c>
      <c r="D880" t="s">
        <v>68</v>
      </c>
      <c r="E880">
        <v>86</v>
      </c>
      <c r="F880">
        <v>133</v>
      </c>
      <c r="G880" s="1">
        <v>50000</v>
      </c>
      <c r="H880" s="1">
        <v>45000</v>
      </c>
      <c r="I880" s="1">
        <v>337500</v>
      </c>
      <c r="J880" s="1">
        <v>7500</v>
      </c>
    </row>
    <row r="881" spans="1:10" x14ac:dyDescent="0.3">
      <c r="A881" t="s">
        <v>119</v>
      </c>
      <c r="B881" t="s">
        <v>6</v>
      </c>
      <c r="C881" t="s">
        <v>193</v>
      </c>
      <c r="D881" t="s">
        <v>68</v>
      </c>
      <c r="E881">
        <v>86</v>
      </c>
      <c r="F881">
        <v>133</v>
      </c>
      <c r="G881" s="1">
        <v>40000</v>
      </c>
      <c r="H881" s="1">
        <v>36000</v>
      </c>
      <c r="I881" s="1">
        <v>270000</v>
      </c>
      <c r="J881" s="1">
        <v>7500</v>
      </c>
    </row>
    <row r="882" spans="1:10" x14ac:dyDescent="0.3">
      <c r="A882" t="s">
        <v>119</v>
      </c>
      <c r="B882" t="s">
        <v>5</v>
      </c>
      <c r="C882" t="s">
        <v>193</v>
      </c>
      <c r="D882" t="s">
        <v>68</v>
      </c>
      <c r="E882">
        <v>86</v>
      </c>
      <c r="F882">
        <v>133</v>
      </c>
      <c r="G882" s="1">
        <v>57000</v>
      </c>
      <c r="H882" s="1">
        <v>49000</v>
      </c>
      <c r="I882" s="1">
        <v>269500</v>
      </c>
      <c r="J882" s="1">
        <v>5500</v>
      </c>
    </row>
    <row r="883" spans="1:10" x14ac:dyDescent="0.3">
      <c r="A883" t="s">
        <v>119</v>
      </c>
      <c r="B883" t="s">
        <v>4</v>
      </c>
      <c r="C883" t="s">
        <v>193</v>
      </c>
      <c r="D883" t="s">
        <v>68</v>
      </c>
      <c r="E883">
        <v>86</v>
      </c>
      <c r="F883">
        <v>133</v>
      </c>
      <c r="G883" s="1">
        <v>52000</v>
      </c>
      <c r="H883" s="1">
        <v>25900</v>
      </c>
      <c r="I883" s="1">
        <v>116550</v>
      </c>
      <c r="J883" s="1">
        <v>4500</v>
      </c>
    </row>
    <row r="884" spans="1:10" x14ac:dyDescent="0.3">
      <c r="A884" t="s">
        <v>119</v>
      </c>
      <c r="B884" t="s">
        <v>3</v>
      </c>
      <c r="C884" t="s">
        <v>193</v>
      </c>
      <c r="D884" t="s">
        <v>68</v>
      </c>
      <c r="E884">
        <v>86</v>
      </c>
      <c r="F884">
        <v>133</v>
      </c>
      <c r="G884" s="1">
        <v>34200</v>
      </c>
      <c r="H884" s="1">
        <v>23790</v>
      </c>
      <c r="I884" s="1">
        <v>142740</v>
      </c>
      <c r="J884" s="1">
        <v>6000</v>
      </c>
    </row>
    <row r="885" spans="1:10" x14ac:dyDescent="0.3">
      <c r="A885" t="s">
        <v>119</v>
      </c>
      <c r="B885" t="s">
        <v>7</v>
      </c>
      <c r="C885" t="s">
        <v>193</v>
      </c>
      <c r="D885" t="s">
        <v>29</v>
      </c>
      <c r="E885">
        <v>86</v>
      </c>
      <c r="F885">
        <v>140</v>
      </c>
      <c r="G885" s="1">
        <v>2200</v>
      </c>
      <c r="H885" s="1">
        <v>1980</v>
      </c>
      <c r="I885" s="1">
        <v>13860</v>
      </c>
      <c r="J885" s="1">
        <v>7000</v>
      </c>
    </row>
    <row r="886" spans="1:10" x14ac:dyDescent="0.3">
      <c r="A886" t="s">
        <v>119</v>
      </c>
      <c r="B886" t="s">
        <v>6</v>
      </c>
      <c r="C886" t="s">
        <v>193</v>
      </c>
      <c r="D886" t="s">
        <v>29</v>
      </c>
      <c r="E886">
        <v>86</v>
      </c>
      <c r="F886">
        <v>140</v>
      </c>
      <c r="G886" s="1">
        <v>2000</v>
      </c>
      <c r="H886" s="1">
        <v>2000</v>
      </c>
      <c r="I886" s="1">
        <v>0</v>
      </c>
      <c r="J886" s="1">
        <v>0</v>
      </c>
    </row>
    <row r="887" spans="1:10" x14ac:dyDescent="0.3">
      <c r="A887" t="s">
        <v>119</v>
      </c>
      <c r="B887" t="s">
        <v>5</v>
      </c>
      <c r="C887" t="s">
        <v>193</v>
      </c>
      <c r="D887" t="s">
        <v>29</v>
      </c>
      <c r="E887">
        <v>86</v>
      </c>
      <c r="F887">
        <v>140</v>
      </c>
      <c r="G887" s="1">
        <v>10000</v>
      </c>
      <c r="H887" s="1">
        <v>10000</v>
      </c>
      <c r="I887" s="1">
        <v>50000</v>
      </c>
      <c r="J887" s="1">
        <v>5000</v>
      </c>
    </row>
    <row r="888" spans="1:10" x14ac:dyDescent="0.3">
      <c r="A888" t="s">
        <v>119</v>
      </c>
      <c r="B888" t="s">
        <v>4</v>
      </c>
      <c r="C888" t="s">
        <v>193</v>
      </c>
      <c r="D888" t="s">
        <v>29</v>
      </c>
      <c r="E888">
        <v>86</v>
      </c>
      <c r="F888">
        <v>140</v>
      </c>
      <c r="G888" s="1">
        <v>9000</v>
      </c>
      <c r="H888" s="1">
        <v>4000</v>
      </c>
      <c r="I888" s="1">
        <v>18000</v>
      </c>
      <c r="J888" s="1">
        <v>4500</v>
      </c>
    </row>
    <row r="889" spans="1:10" x14ac:dyDescent="0.3">
      <c r="A889" t="s">
        <v>119</v>
      </c>
      <c r="B889" t="s">
        <v>3</v>
      </c>
      <c r="C889" t="s">
        <v>193</v>
      </c>
      <c r="D889" t="s">
        <v>29</v>
      </c>
      <c r="E889">
        <v>86</v>
      </c>
      <c r="F889">
        <v>140</v>
      </c>
      <c r="G889" s="1">
        <v>6000</v>
      </c>
      <c r="H889" s="1">
        <v>4030</v>
      </c>
      <c r="I889" s="1">
        <v>24180</v>
      </c>
      <c r="J889" s="1">
        <v>6000</v>
      </c>
    </row>
    <row r="890" spans="1:10" x14ac:dyDescent="0.3">
      <c r="A890" t="s">
        <v>119</v>
      </c>
      <c r="B890" t="s">
        <v>18</v>
      </c>
      <c r="C890" t="s">
        <v>193</v>
      </c>
      <c r="D890" t="s">
        <v>65</v>
      </c>
      <c r="E890">
        <v>86</v>
      </c>
      <c r="F890">
        <v>147</v>
      </c>
      <c r="G890" s="1">
        <v>5000</v>
      </c>
      <c r="H890" s="1">
        <v>3500</v>
      </c>
      <c r="I890" s="1">
        <v>22750</v>
      </c>
      <c r="J890" s="1">
        <v>6500</v>
      </c>
    </row>
    <row r="891" spans="1:10" x14ac:dyDescent="0.3">
      <c r="A891" t="s">
        <v>119</v>
      </c>
      <c r="B891" t="s">
        <v>17</v>
      </c>
      <c r="C891" t="s">
        <v>193</v>
      </c>
      <c r="D891" t="s">
        <v>65</v>
      </c>
      <c r="E891">
        <v>86</v>
      </c>
      <c r="F891">
        <v>147</v>
      </c>
      <c r="G891" s="1">
        <v>6700</v>
      </c>
      <c r="H891" s="1">
        <v>5855</v>
      </c>
      <c r="I891" s="1">
        <v>42742</v>
      </c>
      <c r="J891" s="1">
        <v>7300</v>
      </c>
    </row>
    <row r="892" spans="1:10" x14ac:dyDescent="0.3">
      <c r="A892" t="s">
        <v>119</v>
      </c>
      <c r="B892" t="s">
        <v>14</v>
      </c>
      <c r="C892" t="s">
        <v>193</v>
      </c>
      <c r="D892" t="s">
        <v>65</v>
      </c>
      <c r="E892">
        <v>86</v>
      </c>
      <c r="F892">
        <v>147</v>
      </c>
      <c r="G892" s="1">
        <v>10000</v>
      </c>
      <c r="H892" s="1">
        <v>8800</v>
      </c>
      <c r="I892" s="1">
        <v>70400</v>
      </c>
      <c r="J892" s="1">
        <v>8000</v>
      </c>
    </row>
    <row r="893" spans="1:10" x14ac:dyDescent="0.3">
      <c r="A893" t="s">
        <v>119</v>
      </c>
      <c r="B893" t="s">
        <v>12</v>
      </c>
      <c r="C893" t="s">
        <v>193</v>
      </c>
      <c r="D893" t="s">
        <v>65</v>
      </c>
      <c r="E893">
        <v>86</v>
      </c>
      <c r="F893">
        <v>147</v>
      </c>
      <c r="G893" s="1">
        <v>10000</v>
      </c>
      <c r="H893" s="1">
        <v>7160</v>
      </c>
      <c r="I893" s="1">
        <v>50120</v>
      </c>
      <c r="J893" s="1">
        <v>7000</v>
      </c>
    </row>
    <row r="894" spans="1:10" x14ac:dyDescent="0.3">
      <c r="A894" t="s">
        <v>119</v>
      </c>
      <c r="B894" t="s">
        <v>9</v>
      </c>
      <c r="C894" t="s">
        <v>193</v>
      </c>
      <c r="D894" t="s">
        <v>65</v>
      </c>
      <c r="E894">
        <v>86</v>
      </c>
      <c r="F894">
        <v>147</v>
      </c>
      <c r="G894" s="1">
        <v>8000</v>
      </c>
      <c r="H894" s="1">
        <v>7000</v>
      </c>
      <c r="I894" s="1">
        <v>48300</v>
      </c>
      <c r="J894" s="1">
        <v>6900</v>
      </c>
    </row>
    <row r="895" spans="1:10" x14ac:dyDescent="0.3">
      <c r="A895" t="s">
        <v>119</v>
      </c>
      <c r="B895" t="s">
        <v>8</v>
      </c>
      <c r="C895" t="s">
        <v>193</v>
      </c>
      <c r="D895" t="s">
        <v>65</v>
      </c>
      <c r="E895">
        <v>86</v>
      </c>
      <c r="F895">
        <v>147</v>
      </c>
      <c r="G895" s="1">
        <v>9000</v>
      </c>
      <c r="H895" s="1">
        <v>8550</v>
      </c>
      <c r="I895" s="1">
        <v>64125</v>
      </c>
      <c r="J895" s="1">
        <v>7500</v>
      </c>
    </row>
    <row r="896" spans="1:10" x14ac:dyDescent="0.3">
      <c r="A896" t="s">
        <v>119</v>
      </c>
      <c r="B896" t="s">
        <v>7</v>
      </c>
      <c r="C896" t="s">
        <v>193</v>
      </c>
      <c r="D896" t="s">
        <v>65</v>
      </c>
      <c r="E896">
        <v>86</v>
      </c>
      <c r="F896">
        <v>147</v>
      </c>
      <c r="G896" s="1">
        <v>9000</v>
      </c>
      <c r="H896" s="1">
        <v>8100</v>
      </c>
      <c r="I896" s="1">
        <v>60750</v>
      </c>
      <c r="J896" s="1">
        <v>7500</v>
      </c>
    </row>
    <row r="897" spans="1:10" x14ac:dyDescent="0.3">
      <c r="A897" t="s">
        <v>119</v>
      </c>
      <c r="B897" t="s">
        <v>6</v>
      </c>
      <c r="C897" t="s">
        <v>193</v>
      </c>
      <c r="D897" t="s">
        <v>65</v>
      </c>
      <c r="E897">
        <v>86</v>
      </c>
      <c r="F897">
        <v>147</v>
      </c>
      <c r="G897" s="1">
        <v>8000</v>
      </c>
      <c r="H897" s="1">
        <v>7200</v>
      </c>
      <c r="I897" s="1">
        <v>57600</v>
      </c>
      <c r="J897" s="1">
        <v>8000</v>
      </c>
    </row>
    <row r="898" spans="1:10" x14ac:dyDescent="0.3">
      <c r="A898" t="s">
        <v>119</v>
      </c>
      <c r="B898" t="s">
        <v>5</v>
      </c>
      <c r="C898" t="s">
        <v>193</v>
      </c>
      <c r="D898" t="s">
        <v>65</v>
      </c>
      <c r="E898">
        <v>86</v>
      </c>
      <c r="F898">
        <v>147</v>
      </c>
      <c r="G898" s="1">
        <v>10000</v>
      </c>
      <c r="H898" s="1">
        <v>8000</v>
      </c>
      <c r="I898" s="1">
        <v>44000</v>
      </c>
      <c r="J898" s="1">
        <v>5500</v>
      </c>
    </row>
    <row r="899" spans="1:10" x14ac:dyDescent="0.3">
      <c r="A899" t="s">
        <v>119</v>
      </c>
      <c r="B899" t="s">
        <v>4</v>
      </c>
      <c r="C899" t="s">
        <v>193</v>
      </c>
      <c r="D899" t="s">
        <v>65</v>
      </c>
      <c r="E899">
        <v>86</v>
      </c>
      <c r="F899">
        <v>147</v>
      </c>
      <c r="G899" s="1">
        <v>9000</v>
      </c>
      <c r="H899" s="1">
        <v>4500</v>
      </c>
      <c r="I899" s="1">
        <v>20250</v>
      </c>
      <c r="J899" s="1">
        <v>4500</v>
      </c>
    </row>
    <row r="900" spans="1:10" x14ac:dyDescent="0.3">
      <c r="A900" t="s">
        <v>119</v>
      </c>
      <c r="B900" t="s">
        <v>3</v>
      </c>
      <c r="C900" t="s">
        <v>193</v>
      </c>
      <c r="D900" t="s">
        <v>65</v>
      </c>
      <c r="E900">
        <v>86</v>
      </c>
      <c r="F900">
        <v>147</v>
      </c>
      <c r="G900" s="1">
        <v>6000</v>
      </c>
      <c r="H900" s="1">
        <v>4070</v>
      </c>
      <c r="I900" s="1">
        <v>24420</v>
      </c>
      <c r="J900" s="1">
        <v>6000</v>
      </c>
    </row>
    <row r="901" spans="1:10" x14ac:dyDescent="0.3">
      <c r="A901" t="s">
        <v>119</v>
      </c>
      <c r="B901" t="s">
        <v>18</v>
      </c>
      <c r="C901" t="s">
        <v>193</v>
      </c>
      <c r="D901" t="s">
        <v>58</v>
      </c>
      <c r="E901">
        <v>86</v>
      </c>
      <c r="F901">
        <v>154</v>
      </c>
      <c r="G901" s="1">
        <v>20000</v>
      </c>
      <c r="H901" s="1">
        <v>16000</v>
      </c>
      <c r="I901" s="1">
        <v>112000</v>
      </c>
      <c r="J901" s="1">
        <v>7000</v>
      </c>
    </row>
    <row r="902" spans="1:10" x14ac:dyDescent="0.3">
      <c r="A902" t="s">
        <v>119</v>
      </c>
      <c r="B902" t="s">
        <v>17</v>
      </c>
      <c r="C902" t="s">
        <v>193</v>
      </c>
      <c r="D902" t="s">
        <v>58</v>
      </c>
      <c r="E902">
        <v>86</v>
      </c>
      <c r="F902">
        <v>154</v>
      </c>
      <c r="G902" s="1">
        <v>21200</v>
      </c>
      <c r="H902" s="1">
        <v>15650</v>
      </c>
      <c r="I902" s="1">
        <v>109550</v>
      </c>
      <c r="J902" s="1">
        <v>7000</v>
      </c>
    </row>
    <row r="903" spans="1:10" x14ac:dyDescent="0.3">
      <c r="A903" t="s">
        <v>119</v>
      </c>
      <c r="B903" t="s">
        <v>14</v>
      </c>
      <c r="C903" t="s">
        <v>193</v>
      </c>
      <c r="D903" t="s">
        <v>58</v>
      </c>
      <c r="E903">
        <v>86</v>
      </c>
      <c r="F903">
        <v>154</v>
      </c>
      <c r="G903" s="1">
        <v>21200</v>
      </c>
      <c r="H903" s="1">
        <v>17600</v>
      </c>
      <c r="I903" s="1">
        <v>123200</v>
      </c>
      <c r="J903" s="1">
        <v>7000</v>
      </c>
    </row>
    <row r="904" spans="1:10" x14ac:dyDescent="0.3">
      <c r="A904" t="s">
        <v>119</v>
      </c>
      <c r="B904" t="s">
        <v>12</v>
      </c>
      <c r="C904" t="s">
        <v>193</v>
      </c>
      <c r="D904" t="s">
        <v>58</v>
      </c>
      <c r="E904">
        <v>86</v>
      </c>
      <c r="F904">
        <v>154</v>
      </c>
      <c r="G904" s="1">
        <v>13700</v>
      </c>
      <c r="H904" s="1">
        <v>4780</v>
      </c>
      <c r="I904" s="1">
        <v>28680</v>
      </c>
      <c r="J904" s="1">
        <v>6000</v>
      </c>
    </row>
    <row r="905" spans="1:10" x14ac:dyDescent="0.3">
      <c r="A905" t="s">
        <v>119</v>
      </c>
      <c r="B905" t="s">
        <v>9</v>
      </c>
      <c r="C905" t="s">
        <v>193</v>
      </c>
      <c r="D905" t="s">
        <v>58</v>
      </c>
      <c r="E905">
        <v>86</v>
      </c>
      <c r="F905">
        <v>154</v>
      </c>
      <c r="G905" s="1">
        <v>23000</v>
      </c>
      <c r="H905" s="1">
        <v>19780</v>
      </c>
      <c r="I905" s="1">
        <v>130548</v>
      </c>
      <c r="J905" s="1">
        <v>6600</v>
      </c>
    </row>
    <row r="906" spans="1:10" x14ac:dyDescent="0.3">
      <c r="A906" t="s">
        <v>119</v>
      </c>
      <c r="B906" t="s">
        <v>8</v>
      </c>
      <c r="C906" t="s">
        <v>193</v>
      </c>
      <c r="D906" t="s">
        <v>58</v>
      </c>
      <c r="E906">
        <v>86</v>
      </c>
      <c r="F906">
        <v>154</v>
      </c>
      <c r="G906" s="1">
        <v>31000</v>
      </c>
      <c r="H906" s="1">
        <v>27610</v>
      </c>
      <c r="I906" s="1">
        <v>203210</v>
      </c>
      <c r="J906" s="1">
        <v>7360</v>
      </c>
    </row>
    <row r="907" spans="1:10" x14ac:dyDescent="0.3">
      <c r="A907" t="s">
        <v>119</v>
      </c>
      <c r="B907" t="s">
        <v>7</v>
      </c>
      <c r="C907" t="s">
        <v>193</v>
      </c>
      <c r="D907" t="s">
        <v>58</v>
      </c>
      <c r="E907">
        <v>86</v>
      </c>
      <c r="F907">
        <v>154</v>
      </c>
      <c r="G907" s="1">
        <v>30500</v>
      </c>
      <c r="H907" s="1">
        <v>27431</v>
      </c>
      <c r="I907" s="1">
        <v>200246</v>
      </c>
      <c r="J907" s="1">
        <v>7300</v>
      </c>
    </row>
    <row r="908" spans="1:10" x14ac:dyDescent="0.3">
      <c r="A908" t="s">
        <v>119</v>
      </c>
      <c r="B908" t="s">
        <v>6</v>
      </c>
      <c r="C908" t="s">
        <v>193</v>
      </c>
      <c r="D908" t="s">
        <v>58</v>
      </c>
      <c r="E908">
        <v>86</v>
      </c>
      <c r="F908">
        <v>154</v>
      </c>
      <c r="G908" s="1">
        <v>31000</v>
      </c>
      <c r="H908" s="1">
        <v>28910</v>
      </c>
      <c r="I908" s="1">
        <v>211043</v>
      </c>
      <c r="J908" s="1">
        <v>7300</v>
      </c>
    </row>
    <row r="909" spans="1:10" x14ac:dyDescent="0.3">
      <c r="A909" t="s">
        <v>119</v>
      </c>
      <c r="B909" t="s">
        <v>5</v>
      </c>
      <c r="C909" t="s">
        <v>193</v>
      </c>
      <c r="D909" t="s">
        <v>58</v>
      </c>
      <c r="E909">
        <v>86</v>
      </c>
      <c r="F909">
        <v>154</v>
      </c>
      <c r="G909" s="1">
        <v>31000</v>
      </c>
      <c r="H909" s="1">
        <v>28241</v>
      </c>
      <c r="I909" s="1">
        <v>169446</v>
      </c>
      <c r="J909" s="1">
        <v>6000</v>
      </c>
    </row>
    <row r="910" spans="1:10" x14ac:dyDescent="0.3">
      <c r="A910" t="s">
        <v>119</v>
      </c>
      <c r="B910" t="s">
        <v>4</v>
      </c>
      <c r="C910" t="s">
        <v>193</v>
      </c>
      <c r="D910" t="s">
        <v>58</v>
      </c>
      <c r="E910">
        <v>86</v>
      </c>
      <c r="F910">
        <v>154</v>
      </c>
      <c r="G910" s="1">
        <v>31700</v>
      </c>
      <c r="H910" s="1">
        <v>21640</v>
      </c>
      <c r="I910" s="1">
        <v>67084</v>
      </c>
      <c r="J910" s="1">
        <v>3100</v>
      </c>
    </row>
    <row r="911" spans="1:10" x14ac:dyDescent="0.3">
      <c r="A911" t="s">
        <v>119</v>
      </c>
      <c r="B911" t="s">
        <v>3</v>
      </c>
      <c r="C911" t="s">
        <v>193</v>
      </c>
      <c r="D911" t="s">
        <v>58</v>
      </c>
      <c r="E911">
        <v>86</v>
      </c>
      <c r="F911">
        <v>154</v>
      </c>
      <c r="G911" s="1">
        <v>18140</v>
      </c>
      <c r="H911" s="1">
        <v>13460</v>
      </c>
      <c r="I911" s="1">
        <v>56532</v>
      </c>
      <c r="J911" s="1">
        <v>4200</v>
      </c>
    </row>
    <row r="912" spans="1:10" x14ac:dyDescent="0.3">
      <c r="A912" t="s">
        <v>119</v>
      </c>
      <c r="B912" t="s">
        <v>18</v>
      </c>
      <c r="C912" t="s">
        <v>193</v>
      </c>
      <c r="D912" t="s">
        <v>42</v>
      </c>
      <c r="E912">
        <v>86</v>
      </c>
      <c r="F912">
        <v>161</v>
      </c>
      <c r="G912" s="1">
        <v>2500</v>
      </c>
      <c r="H912" s="1">
        <v>1500</v>
      </c>
      <c r="I912" s="1">
        <v>11250</v>
      </c>
      <c r="J912" s="1">
        <v>7500</v>
      </c>
    </row>
    <row r="913" spans="1:10" x14ac:dyDescent="0.3">
      <c r="A913" t="s">
        <v>119</v>
      </c>
      <c r="B913" t="s">
        <v>17</v>
      </c>
      <c r="C913" t="s">
        <v>193</v>
      </c>
      <c r="D913" t="s">
        <v>42</v>
      </c>
      <c r="E913">
        <v>86</v>
      </c>
      <c r="F913">
        <v>161</v>
      </c>
      <c r="G913" s="1">
        <v>2000</v>
      </c>
      <c r="H913" s="1">
        <v>1260</v>
      </c>
      <c r="I913" s="1">
        <v>9198</v>
      </c>
      <c r="J913" s="1">
        <v>7300</v>
      </c>
    </row>
    <row r="914" spans="1:10" x14ac:dyDescent="0.3">
      <c r="A914" t="s">
        <v>119</v>
      </c>
      <c r="B914" t="s">
        <v>14</v>
      </c>
      <c r="C914" t="s">
        <v>193</v>
      </c>
      <c r="D914" t="s">
        <v>42</v>
      </c>
      <c r="E914">
        <v>86</v>
      </c>
      <c r="F914">
        <v>161</v>
      </c>
      <c r="G914" s="1">
        <v>3500</v>
      </c>
      <c r="H914" s="1">
        <v>3050</v>
      </c>
      <c r="I914" s="1">
        <v>24400</v>
      </c>
      <c r="J914" s="1">
        <v>8000</v>
      </c>
    </row>
    <row r="915" spans="1:10" x14ac:dyDescent="0.3">
      <c r="A915" t="s">
        <v>119</v>
      </c>
      <c r="B915" t="s">
        <v>12</v>
      </c>
      <c r="C915" t="s">
        <v>193</v>
      </c>
      <c r="D915" t="s">
        <v>42</v>
      </c>
      <c r="E915">
        <v>86</v>
      </c>
      <c r="F915">
        <v>161</v>
      </c>
      <c r="G915" s="1">
        <v>4000</v>
      </c>
      <c r="H915" s="1">
        <v>2890</v>
      </c>
      <c r="I915" s="1">
        <v>21675</v>
      </c>
      <c r="J915" s="1">
        <v>7500</v>
      </c>
    </row>
    <row r="916" spans="1:10" x14ac:dyDescent="0.3">
      <c r="A916" t="s">
        <v>119</v>
      </c>
      <c r="B916" t="s">
        <v>9</v>
      </c>
      <c r="C916" t="s">
        <v>193</v>
      </c>
      <c r="D916" t="s">
        <v>42</v>
      </c>
      <c r="E916">
        <v>86</v>
      </c>
      <c r="F916">
        <v>161</v>
      </c>
      <c r="G916" s="1">
        <v>3500</v>
      </c>
      <c r="H916" s="1">
        <v>3500</v>
      </c>
      <c r="I916" s="1">
        <v>24150</v>
      </c>
      <c r="J916" s="1">
        <v>6900</v>
      </c>
    </row>
    <row r="917" spans="1:10" x14ac:dyDescent="0.3">
      <c r="A917" t="s">
        <v>119</v>
      </c>
      <c r="B917" t="s">
        <v>8</v>
      </c>
      <c r="C917" t="s">
        <v>193</v>
      </c>
      <c r="D917" t="s">
        <v>42</v>
      </c>
      <c r="E917">
        <v>86</v>
      </c>
      <c r="F917">
        <v>161</v>
      </c>
      <c r="G917" s="1">
        <v>4000</v>
      </c>
      <c r="H917" s="1">
        <v>3800</v>
      </c>
      <c r="I917" s="1">
        <v>24928</v>
      </c>
      <c r="J917" s="1">
        <v>6560</v>
      </c>
    </row>
    <row r="918" spans="1:10" x14ac:dyDescent="0.3">
      <c r="A918" t="s">
        <v>119</v>
      </c>
      <c r="B918" t="s">
        <v>7</v>
      </c>
      <c r="C918" t="s">
        <v>193</v>
      </c>
      <c r="D918" t="s">
        <v>42</v>
      </c>
      <c r="E918">
        <v>86</v>
      </c>
      <c r="F918">
        <v>161</v>
      </c>
      <c r="G918" s="1">
        <v>4000</v>
      </c>
      <c r="H918" s="1">
        <v>3600</v>
      </c>
      <c r="I918" s="1">
        <v>27000</v>
      </c>
      <c r="J918" s="1">
        <v>7500</v>
      </c>
    </row>
    <row r="919" spans="1:10" x14ac:dyDescent="0.3">
      <c r="A919" t="s">
        <v>119</v>
      </c>
      <c r="B919" t="s">
        <v>6</v>
      </c>
      <c r="C919" t="s">
        <v>193</v>
      </c>
      <c r="D919" t="s">
        <v>42</v>
      </c>
      <c r="E919">
        <v>86</v>
      </c>
      <c r="F919">
        <v>161</v>
      </c>
      <c r="G919" s="1">
        <v>4000</v>
      </c>
      <c r="H919" s="1">
        <v>3600</v>
      </c>
      <c r="I919" s="1">
        <v>28800</v>
      </c>
      <c r="J919" s="1">
        <v>8000</v>
      </c>
    </row>
    <row r="920" spans="1:10" x14ac:dyDescent="0.3">
      <c r="A920" t="s">
        <v>119</v>
      </c>
      <c r="B920" t="s">
        <v>5</v>
      </c>
      <c r="C920" t="s">
        <v>193</v>
      </c>
      <c r="D920" t="s">
        <v>42</v>
      </c>
      <c r="E920">
        <v>86</v>
      </c>
      <c r="F920">
        <v>161</v>
      </c>
      <c r="G920" s="1">
        <v>4000</v>
      </c>
      <c r="H920" s="1">
        <v>3200</v>
      </c>
      <c r="I920" s="1">
        <v>17600</v>
      </c>
      <c r="J920" s="1">
        <v>5500</v>
      </c>
    </row>
    <row r="921" spans="1:10" x14ac:dyDescent="0.3">
      <c r="A921" t="s">
        <v>119</v>
      </c>
      <c r="B921" t="s">
        <v>4</v>
      </c>
      <c r="C921" t="s">
        <v>193</v>
      </c>
      <c r="D921" t="s">
        <v>42</v>
      </c>
      <c r="E921">
        <v>86</v>
      </c>
      <c r="F921">
        <v>161</v>
      </c>
      <c r="G921" s="1">
        <v>4000</v>
      </c>
      <c r="H921" s="1">
        <v>2000</v>
      </c>
      <c r="I921" s="1">
        <v>9000</v>
      </c>
      <c r="J921" s="1">
        <v>4500</v>
      </c>
    </row>
    <row r="922" spans="1:10" x14ac:dyDescent="0.3">
      <c r="A922" t="s">
        <v>119</v>
      </c>
      <c r="B922" t="s">
        <v>3</v>
      </c>
      <c r="C922" t="s">
        <v>193</v>
      </c>
      <c r="D922" t="s">
        <v>42</v>
      </c>
      <c r="E922">
        <v>86</v>
      </c>
      <c r="F922">
        <v>161</v>
      </c>
      <c r="G922" s="1">
        <v>2400</v>
      </c>
      <c r="H922" s="1">
        <v>1560</v>
      </c>
      <c r="I922" s="1">
        <v>9048</v>
      </c>
      <c r="J922" s="1">
        <v>5800</v>
      </c>
    </row>
    <row r="923" spans="1:10" x14ac:dyDescent="0.3">
      <c r="A923" t="s">
        <v>119</v>
      </c>
      <c r="B923" t="s">
        <v>18</v>
      </c>
      <c r="C923" t="s">
        <v>193</v>
      </c>
      <c r="D923" t="s">
        <v>52</v>
      </c>
      <c r="E923">
        <v>86</v>
      </c>
      <c r="F923">
        <v>175</v>
      </c>
      <c r="G923" s="1">
        <v>1000</v>
      </c>
      <c r="H923" s="1">
        <v>0</v>
      </c>
      <c r="I923" s="1">
        <v>0</v>
      </c>
      <c r="J923" s="1">
        <v>0</v>
      </c>
    </row>
    <row r="924" spans="1:10" x14ac:dyDescent="0.3">
      <c r="A924" t="s">
        <v>119</v>
      </c>
      <c r="B924" t="s">
        <v>17</v>
      </c>
      <c r="C924" t="s">
        <v>193</v>
      </c>
      <c r="D924" t="s">
        <v>52</v>
      </c>
      <c r="E924">
        <v>86</v>
      </c>
      <c r="F924">
        <v>175</v>
      </c>
      <c r="G924" s="1">
        <v>1000</v>
      </c>
      <c r="H924" s="1">
        <v>870</v>
      </c>
      <c r="I924" s="1">
        <v>4611</v>
      </c>
      <c r="J924" s="1">
        <v>5300</v>
      </c>
    </row>
    <row r="925" spans="1:10" x14ac:dyDescent="0.3">
      <c r="A925" t="s">
        <v>119</v>
      </c>
      <c r="B925" t="s">
        <v>14</v>
      </c>
      <c r="C925" t="s">
        <v>193</v>
      </c>
      <c r="D925" t="s">
        <v>52</v>
      </c>
      <c r="E925">
        <v>86</v>
      </c>
      <c r="F925">
        <v>175</v>
      </c>
      <c r="G925" s="1">
        <v>2000</v>
      </c>
      <c r="H925" s="1">
        <v>1700</v>
      </c>
      <c r="I925" s="1">
        <v>10200</v>
      </c>
      <c r="J925" s="1">
        <v>6000</v>
      </c>
    </row>
    <row r="926" spans="1:10" x14ac:dyDescent="0.3">
      <c r="A926" t="s">
        <v>119</v>
      </c>
      <c r="B926" t="s">
        <v>12</v>
      </c>
      <c r="C926" t="s">
        <v>193</v>
      </c>
      <c r="D926" t="s">
        <v>52</v>
      </c>
      <c r="E926">
        <v>86</v>
      </c>
      <c r="F926">
        <v>175</v>
      </c>
      <c r="G926" s="1">
        <v>3000</v>
      </c>
      <c r="H926" s="1">
        <v>2160</v>
      </c>
      <c r="I926" s="1">
        <v>15120</v>
      </c>
      <c r="J926" s="1">
        <v>7000</v>
      </c>
    </row>
    <row r="927" spans="1:10" x14ac:dyDescent="0.3">
      <c r="A927" t="s">
        <v>119</v>
      </c>
      <c r="B927" t="s">
        <v>9</v>
      </c>
      <c r="C927" t="s">
        <v>193</v>
      </c>
      <c r="D927" t="s">
        <v>52</v>
      </c>
      <c r="E927">
        <v>86</v>
      </c>
      <c r="F927">
        <v>175</v>
      </c>
      <c r="G927" s="1">
        <v>2000</v>
      </c>
      <c r="H927" s="1">
        <v>2000</v>
      </c>
      <c r="I927" s="1">
        <v>13400</v>
      </c>
      <c r="J927" s="1">
        <v>6700</v>
      </c>
    </row>
    <row r="928" spans="1:10" x14ac:dyDescent="0.3">
      <c r="A928" t="s">
        <v>119</v>
      </c>
      <c r="B928" t="s">
        <v>8</v>
      </c>
      <c r="C928" t="s">
        <v>193</v>
      </c>
      <c r="D928" t="s">
        <v>52</v>
      </c>
      <c r="E928">
        <v>86</v>
      </c>
      <c r="F928">
        <v>175</v>
      </c>
      <c r="G928" s="1">
        <v>3000</v>
      </c>
      <c r="H928" s="1">
        <v>2850</v>
      </c>
      <c r="I928" s="1">
        <v>18696</v>
      </c>
      <c r="J928" s="1">
        <v>6560</v>
      </c>
    </row>
    <row r="929" spans="1:10" x14ac:dyDescent="0.3">
      <c r="A929" t="s">
        <v>119</v>
      </c>
      <c r="B929" t="s">
        <v>7</v>
      </c>
      <c r="C929" t="s">
        <v>193</v>
      </c>
      <c r="D929" t="s">
        <v>52</v>
      </c>
      <c r="E929">
        <v>86</v>
      </c>
      <c r="F929">
        <v>175</v>
      </c>
      <c r="G929" s="1">
        <v>3000</v>
      </c>
      <c r="H929" s="1">
        <v>2700</v>
      </c>
      <c r="I929" s="1">
        <v>20250</v>
      </c>
      <c r="J929" s="1">
        <v>7500</v>
      </c>
    </row>
    <row r="930" spans="1:10" x14ac:dyDescent="0.3">
      <c r="A930" t="s">
        <v>119</v>
      </c>
      <c r="B930" t="s">
        <v>6</v>
      </c>
      <c r="C930" t="s">
        <v>193</v>
      </c>
      <c r="D930" t="s">
        <v>52</v>
      </c>
      <c r="E930">
        <v>86</v>
      </c>
      <c r="F930">
        <v>175</v>
      </c>
      <c r="G930" s="1">
        <v>3000</v>
      </c>
      <c r="H930" s="1">
        <v>2700</v>
      </c>
      <c r="I930" s="1">
        <v>20250</v>
      </c>
      <c r="J930" s="1">
        <v>7500</v>
      </c>
    </row>
    <row r="931" spans="1:10" x14ac:dyDescent="0.3">
      <c r="A931" t="s">
        <v>119</v>
      </c>
      <c r="B931" t="s">
        <v>5</v>
      </c>
      <c r="C931" t="s">
        <v>193</v>
      </c>
      <c r="D931" t="s">
        <v>52</v>
      </c>
      <c r="E931">
        <v>86</v>
      </c>
      <c r="F931">
        <v>175</v>
      </c>
      <c r="G931" s="1">
        <v>4000</v>
      </c>
      <c r="H931" s="1">
        <v>3200</v>
      </c>
      <c r="I931" s="1">
        <v>17600</v>
      </c>
      <c r="J931" s="1">
        <v>5500</v>
      </c>
    </row>
    <row r="932" spans="1:10" x14ac:dyDescent="0.3">
      <c r="A932" t="s">
        <v>119</v>
      </c>
      <c r="B932" t="s">
        <v>4</v>
      </c>
      <c r="C932" t="s">
        <v>193</v>
      </c>
      <c r="D932" t="s">
        <v>52</v>
      </c>
      <c r="E932">
        <v>86</v>
      </c>
      <c r="F932">
        <v>175</v>
      </c>
      <c r="G932" s="1">
        <v>3500</v>
      </c>
      <c r="H932" s="1">
        <v>1500</v>
      </c>
      <c r="I932" s="1">
        <v>6750</v>
      </c>
      <c r="J932" s="1">
        <v>4500</v>
      </c>
    </row>
    <row r="933" spans="1:10" x14ac:dyDescent="0.3">
      <c r="A933" t="s">
        <v>119</v>
      </c>
      <c r="B933" t="s">
        <v>3</v>
      </c>
      <c r="C933" t="s">
        <v>193</v>
      </c>
      <c r="D933" t="s">
        <v>52</v>
      </c>
      <c r="E933">
        <v>86</v>
      </c>
      <c r="F933">
        <v>175</v>
      </c>
      <c r="G933" s="1">
        <v>3000</v>
      </c>
      <c r="H933" s="1">
        <v>1950</v>
      </c>
      <c r="I933" s="1">
        <v>10920</v>
      </c>
      <c r="J933" s="1">
        <v>5600</v>
      </c>
    </row>
    <row r="934" spans="1:10" x14ac:dyDescent="0.3">
      <c r="A934" t="s">
        <v>119</v>
      </c>
      <c r="B934" t="s">
        <v>18</v>
      </c>
      <c r="C934" t="s">
        <v>193</v>
      </c>
      <c r="D934" t="s">
        <v>25</v>
      </c>
      <c r="E934">
        <v>86</v>
      </c>
      <c r="F934">
        <v>182</v>
      </c>
      <c r="G934" s="1">
        <v>2500</v>
      </c>
      <c r="H934" s="1">
        <v>2000</v>
      </c>
      <c r="I934" s="1">
        <v>12000</v>
      </c>
      <c r="J934" s="1">
        <v>6000</v>
      </c>
    </row>
    <row r="935" spans="1:10" x14ac:dyDescent="0.3">
      <c r="A935" t="s">
        <v>119</v>
      </c>
      <c r="B935" t="s">
        <v>17</v>
      </c>
      <c r="C935" t="s">
        <v>193</v>
      </c>
      <c r="D935" t="s">
        <v>25</v>
      </c>
      <c r="E935">
        <v>86</v>
      </c>
      <c r="F935">
        <v>182</v>
      </c>
      <c r="G935" s="1">
        <v>2625</v>
      </c>
      <c r="H935" s="1">
        <v>2365</v>
      </c>
      <c r="I935" s="1">
        <v>15373</v>
      </c>
      <c r="J935" s="1">
        <v>6500</v>
      </c>
    </row>
    <row r="936" spans="1:10" x14ac:dyDescent="0.3">
      <c r="A936" t="s">
        <v>119</v>
      </c>
      <c r="B936" t="s">
        <v>14</v>
      </c>
      <c r="C936" t="s">
        <v>193</v>
      </c>
      <c r="D936" t="s">
        <v>25</v>
      </c>
      <c r="E936">
        <v>86</v>
      </c>
      <c r="F936">
        <v>182</v>
      </c>
      <c r="G936" s="1">
        <v>2600</v>
      </c>
      <c r="H936" s="1">
        <v>2100</v>
      </c>
      <c r="I936" s="1">
        <v>14280</v>
      </c>
      <c r="J936" s="1">
        <v>6800</v>
      </c>
    </row>
    <row r="937" spans="1:10" x14ac:dyDescent="0.3">
      <c r="A937" t="s">
        <v>119</v>
      </c>
      <c r="B937" t="s">
        <v>12</v>
      </c>
      <c r="C937" t="s">
        <v>193</v>
      </c>
      <c r="D937" t="s">
        <v>25</v>
      </c>
      <c r="E937">
        <v>86</v>
      </c>
      <c r="F937">
        <v>182</v>
      </c>
      <c r="G937" s="1">
        <v>2700</v>
      </c>
      <c r="H937" s="1">
        <v>2160</v>
      </c>
      <c r="I937" s="1">
        <v>11880</v>
      </c>
      <c r="J937" s="1">
        <v>5500</v>
      </c>
    </row>
    <row r="938" spans="1:10" x14ac:dyDescent="0.3">
      <c r="A938" t="s">
        <v>119</v>
      </c>
      <c r="B938" t="s">
        <v>9</v>
      </c>
      <c r="C938" t="s">
        <v>193</v>
      </c>
      <c r="D938" t="s">
        <v>25</v>
      </c>
      <c r="E938">
        <v>86</v>
      </c>
      <c r="F938">
        <v>182</v>
      </c>
      <c r="G938" s="1">
        <v>2900</v>
      </c>
      <c r="H938" s="1">
        <v>2780</v>
      </c>
      <c r="I938" s="1">
        <v>17236</v>
      </c>
      <c r="J938" s="1">
        <v>6200</v>
      </c>
    </row>
    <row r="939" spans="1:10" x14ac:dyDescent="0.3">
      <c r="A939" t="s">
        <v>119</v>
      </c>
      <c r="B939" t="s">
        <v>8</v>
      </c>
      <c r="C939" t="s">
        <v>193</v>
      </c>
      <c r="D939" t="s">
        <v>25</v>
      </c>
      <c r="E939">
        <v>86</v>
      </c>
      <c r="F939">
        <v>182</v>
      </c>
      <c r="G939" s="1">
        <v>6200</v>
      </c>
      <c r="H939" s="1">
        <v>5830</v>
      </c>
      <c r="I939" s="1">
        <v>34689</v>
      </c>
      <c r="J939" s="1">
        <v>5950</v>
      </c>
    </row>
    <row r="940" spans="1:10" x14ac:dyDescent="0.3">
      <c r="A940" t="s">
        <v>119</v>
      </c>
      <c r="B940" t="s">
        <v>7</v>
      </c>
      <c r="C940" t="s">
        <v>193</v>
      </c>
      <c r="D940" t="s">
        <v>25</v>
      </c>
      <c r="E940">
        <v>86</v>
      </c>
      <c r="F940">
        <v>182</v>
      </c>
      <c r="G940" s="1">
        <v>6000</v>
      </c>
      <c r="H940" s="1">
        <v>5670</v>
      </c>
      <c r="I940" s="1">
        <v>33453</v>
      </c>
      <c r="J940" s="1">
        <v>5900</v>
      </c>
    </row>
    <row r="941" spans="1:10" x14ac:dyDescent="0.3">
      <c r="A941" t="s">
        <v>119</v>
      </c>
      <c r="B941" t="s">
        <v>6</v>
      </c>
      <c r="C941" t="s">
        <v>193</v>
      </c>
      <c r="D941" t="s">
        <v>25</v>
      </c>
      <c r="E941">
        <v>86</v>
      </c>
      <c r="F941">
        <v>182</v>
      </c>
      <c r="G941" s="1">
        <v>5700</v>
      </c>
      <c r="H941" s="1">
        <v>5350</v>
      </c>
      <c r="I941" s="1">
        <v>35845</v>
      </c>
      <c r="J941" s="1">
        <v>6700</v>
      </c>
    </row>
    <row r="942" spans="1:10" x14ac:dyDescent="0.3">
      <c r="A942" t="s">
        <v>119</v>
      </c>
      <c r="B942" t="s">
        <v>5</v>
      </c>
      <c r="C942" t="s">
        <v>193</v>
      </c>
      <c r="D942" t="s">
        <v>25</v>
      </c>
      <c r="E942">
        <v>86</v>
      </c>
      <c r="F942">
        <v>182</v>
      </c>
      <c r="G942" s="1">
        <v>5700</v>
      </c>
      <c r="H942" s="1">
        <v>5193</v>
      </c>
      <c r="I942" s="1">
        <v>28560</v>
      </c>
      <c r="J942" s="1">
        <v>5500</v>
      </c>
    </row>
    <row r="943" spans="1:10" x14ac:dyDescent="0.3">
      <c r="A943" t="s">
        <v>119</v>
      </c>
      <c r="B943" t="s">
        <v>4</v>
      </c>
      <c r="C943" t="s">
        <v>193</v>
      </c>
      <c r="D943" t="s">
        <v>25</v>
      </c>
      <c r="E943">
        <v>86</v>
      </c>
      <c r="F943">
        <v>182</v>
      </c>
      <c r="G943" s="1">
        <v>6200</v>
      </c>
      <c r="H943" s="1">
        <v>4480</v>
      </c>
      <c r="I943" s="1">
        <v>10752</v>
      </c>
      <c r="J943" s="1">
        <v>2400</v>
      </c>
    </row>
    <row r="944" spans="1:10" x14ac:dyDescent="0.3">
      <c r="A944" t="s">
        <v>119</v>
      </c>
      <c r="B944" t="s">
        <v>3</v>
      </c>
      <c r="C944" t="s">
        <v>193</v>
      </c>
      <c r="D944" t="s">
        <v>25</v>
      </c>
      <c r="E944">
        <v>86</v>
      </c>
      <c r="F944">
        <v>182</v>
      </c>
      <c r="G944" s="1">
        <v>3800</v>
      </c>
      <c r="H944" s="1">
        <v>3440</v>
      </c>
      <c r="I944" s="1">
        <v>11008</v>
      </c>
      <c r="J944" s="1">
        <v>3200</v>
      </c>
    </row>
    <row r="945" spans="1:10" x14ac:dyDescent="0.3">
      <c r="A945" t="s">
        <v>119</v>
      </c>
      <c r="B945" t="s">
        <v>18</v>
      </c>
      <c r="C945" t="s">
        <v>193</v>
      </c>
      <c r="D945" t="s">
        <v>33</v>
      </c>
      <c r="E945">
        <v>86</v>
      </c>
      <c r="F945">
        <v>189</v>
      </c>
      <c r="G945" s="1">
        <v>1500</v>
      </c>
      <c r="H945" s="1">
        <v>1000</v>
      </c>
      <c r="I945" s="1">
        <v>7500</v>
      </c>
      <c r="J945" s="1">
        <v>7500</v>
      </c>
    </row>
    <row r="946" spans="1:10" x14ac:dyDescent="0.3">
      <c r="A946" t="s">
        <v>119</v>
      </c>
      <c r="B946" t="s">
        <v>17</v>
      </c>
      <c r="C946" t="s">
        <v>193</v>
      </c>
      <c r="D946" t="s">
        <v>33</v>
      </c>
      <c r="E946">
        <v>86</v>
      </c>
      <c r="F946">
        <v>189</v>
      </c>
      <c r="G946" s="1">
        <v>2500</v>
      </c>
      <c r="H946" s="1">
        <v>1525</v>
      </c>
      <c r="I946" s="1">
        <v>975</v>
      </c>
      <c r="J946" s="1">
        <v>639</v>
      </c>
    </row>
    <row r="947" spans="1:10" x14ac:dyDescent="0.3">
      <c r="A947" t="s">
        <v>119</v>
      </c>
      <c r="B947" t="s">
        <v>14</v>
      </c>
      <c r="C947" t="s">
        <v>193</v>
      </c>
      <c r="D947" t="s">
        <v>33</v>
      </c>
      <c r="E947">
        <v>86</v>
      </c>
      <c r="F947">
        <v>189</v>
      </c>
      <c r="G947" s="1">
        <v>3500</v>
      </c>
      <c r="H947" s="1">
        <v>3050</v>
      </c>
      <c r="I947" s="1">
        <v>25925</v>
      </c>
      <c r="J947" s="1">
        <v>8500</v>
      </c>
    </row>
    <row r="948" spans="1:10" x14ac:dyDescent="0.3">
      <c r="A948" t="s">
        <v>119</v>
      </c>
      <c r="B948" t="s">
        <v>12</v>
      </c>
      <c r="C948" t="s">
        <v>193</v>
      </c>
      <c r="D948" t="s">
        <v>33</v>
      </c>
      <c r="E948">
        <v>86</v>
      </c>
      <c r="F948">
        <v>189</v>
      </c>
      <c r="G948" s="1">
        <v>5000</v>
      </c>
      <c r="H948" s="1">
        <v>3640</v>
      </c>
      <c r="I948" s="1">
        <v>27300</v>
      </c>
      <c r="J948" s="1">
        <v>7500</v>
      </c>
    </row>
    <row r="949" spans="1:10" x14ac:dyDescent="0.3">
      <c r="A949" t="s">
        <v>119</v>
      </c>
      <c r="B949" t="s">
        <v>9</v>
      </c>
      <c r="C949" t="s">
        <v>193</v>
      </c>
      <c r="D949" t="s">
        <v>33</v>
      </c>
      <c r="E949">
        <v>86</v>
      </c>
      <c r="F949">
        <v>189</v>
      </c>
      <c r="G949" s="1">
        <v>3500</v>
      </c>
      <c r="H949" s="1">
        <v>3000</v>
      </c>
      <c r="I949" s="1">
        <v>21000</v>
      </c>
      <c r="J949" s="1">
        <v>7000</v>
      </c>
    </row>
    <row r="950" spans="1:10" x14ac:dyDescent="0.3">
      <c r="A950" t="s">
        <v>119</v>
      </c>
      <c r="B950" t="s">
        <v>8</v>
      </c>
      <c r="C950" t="s">
        <v>193</v>
      </c>
      <c r="D950" t="s">
        <v>33</v>
      </c>
      <c r="E950">
        <v>86</v>
      </c>
      <c r="F950">
        <v>189</v>
      </c>
      <c r="G950" s="1">
        <v>5000</v>
      </c>
      <c r="H950" s="1">
        <v>4750</v>
      </c>
      <c r="I950" s="1">
        <v>33393</v>
      </c>
      <c r="J950" s="1">
        <v>7030</v>
      </c>
    </row>
    <row r="951" spans="1:10" x14ac:dyDescent="0.3">
      <c r="A951" t="s">
        <v>119</v>
      </c>
      <c r="B951" t="s">
        <v>7</v>
      </c>
      <c r="C951" t="s">
        <v>193</v>
      </c>
      <c r="D951" t="s">
        <v>33</v>
      </c>
      <c r="E951">
        <v>86</v>
      </c>
      <c r="F951">
        <v>189</v>
      </c>
      <c r="G951" s="1">
        <v>5000</v>
      </c>
      <c r="H951" s="1">
        <v>4500</v>
      </c>
      <c r="I951" s="1">
        <v>33750</v>
      </c>
      <c r="J951" s="1">
        <v>7500</v>
      </c>
    </row>
    <row r="952" spans="1:10" x14ac:dyDescent="0.3">
      <c r="A952" t="s">
        <v>119</v>
      </c>
      <c r="B952" t="s">
        <v>6</v>
      </c>
      <c r="C952" t="s">
        <v>193</v>
      </c>
      <c r="D952" t="s">
        <v>33</v>
      </c>
      <c r="E952">
        <v>86</v>
      </c>
      <c r="F952">
        <v>189</v>
      </c>
      <c r="G952" s="1">
        <v>5000</v>
      </c>
      <c r="H952" s="1">
        <v>4500</v>
      </c>
      <c r="I952" s="1">
        <v>33750</v>
      </c>
      <c r="J952" s="1">
        <v>7500</v>
      </c>
    </row>
    <row r="953" spans="1:10" x14ac:dyDescent="0.3">
      <c r="A953" t="s">
        <v>119</v>
      </c>
      <c r="B953" t="s">
        <v>5</v>
      </c>
      <c r="C953" t="s">
        <v>193</v>
      </c>
      <c r="D953" t="s">
        <v>33</v>
      </c>
      <c r="E953">
        <v>86</v>
      </c>
      <c r="F953">
        <v>189</v>
      </c>
      <c r="G953" s="1">
        <v>5000</v>
      </c>
      <c r="H953" s="1">
        <v>4000</v>
      </c>
      <c r="I953" s="1">
        <v>22000</v>
      </c>
      <c r="J953" s="1">
        <v>5500</v>
      </c>
    </row>
    <row r="954" spans="1:10" x14ac:dyDescent="0.3">
      <c r="A954" t="s">
        <v>119</v>
      </c>
      <c r="B954" t="s">
        <v>4</v>
      </c>
      <c r="C954" t="s">
        <v>193</v>
      </c>
      <c r="D954" t="s">
        <v>33</v>
      </c>
      <c r="E954">
        <v>86</v>
      </c>
      <c r="F954">
        <v>189</v>
      </c>
      <c r="G954" s="1">
        <v>5000</v>
      </c>
      <c r="H954" s="1">
        <v>2500</v>
      </c>
      <c r="I954" s="1">
        <v>10000</v>
      </c>
      <c r="J954" s="1">
        <v>4000</v>
      </c>
    </row>
    <row r="955" spans="1:10" x14ac:dyDescent="0.3">
      <c r="A955" t="s">
        <v>119</v>
      </c>
      <c r="B955" t="s">
        <v>3</v>
      </c>
      <c r="C955" t="s">
        <v>193</v>
      </c>
      <c r="D955" t="s">
        <v>33</v>
      </c>
      <c r="E955">
        <v>86</v>
      </c>
      <c r="F955">
        <v>189</v>
      </c>
      <c r="G955" s="1">
        <v>2000</v>
      </c>
      <c r="H955" s="1">
        <v>1565</v>
      </c>
      <c r="I955" s="1">
        <v>10173</v>
      </c>
      <c r="J955" s="1">
        <v>6500</v>
      </c>
    </row>
    <row r="956" spans="1:10" x14ac:dyDescent="0.3">
      <c r="A956" t="s">
        <v>201</v>
      </c>
      <c r="B956" t="s">
        <v>4</v>
      </c>
      <c r="C956" t="s">
        <v>193</v>
      </c>
      <c r="D956" t="s">
        <v>54</v>
      </c>
      <c r="E956">
        <v>86</v>
      </c>
      <c r="F956">
        <v>84</v>
      </c>
      <c r="G956" s="1">
        <v>300</v>
      </c>
      <c r="H956" s="1">
        <v>295</v>
      </c>
      <c r="I956" s="1">
        <v>738</v>
      </c>
      <c r="J956" s="1">
        <v>2500</v>
      </c>
    </row>
    <row r="957" spans="1:10" x14ac:dyDescent="0.3">
      <c r="A957" t="s">
        <v>201</v>
      </c>
      <c r="B957" t="s">
        <v>3</v>
      </c>
      <c r="C957" t="s">
        <v>193</v>
      </c>
      <c r="D957" t="s">
        <v>54</v>
      </c>
      <c r="E957">
        <v>86</v>
      </c>
      <c r="F957">
        <v>84</v>
      </c>
      <c r="G957" s="1">
        <v>300</v>
      </c>
      <c r="H957" s="1">
        <v>285</v>
      </c>
      <c r="I957" s="1">
        <v>627</v>
      </c>
      <c r="J957" s="1">
        <v>2200</v>
      </c>
    </row>
    <row r="958" spans="1:10" x14ac:dyDescent="0.3">
      <c r="A958" t="s">
        <v>200</v>
      </c>
      <c r="B958" t="s">
        <v>18</v>
      </c>
      <c r="C958" t="s">
        <v>193</v>
      </c>
      <c r="D958" t="s">
        <v>44</v>
      </c>
      <c r="E958">
        <v>86</v>
      </c>
      <c r="F958">
        <v>35</v>
      </c>
      <c r="G958" s="1">
        <v>500</v>
      </c>
      <c r="H958" s="1">
        <v>500</v>
      </c>
      <c r="I958" s="1">
        <v>600</v>
      </c>
      <c r="J958" s="1">
        <v>1200</v>
      </c>
    </row>
    <row r="959" spans="1:10" x14ac:dyDescent="0.3">
      <c r="A959" t="s">
        <v>200</v>
      </c>
      <c r="B959" t="s">
        <v>18</v>
      </c>
      <c r="C959" t="s">
        <v>193</v>
      </c>
      <c r="D959" t="s">
        <v>48</v>
      </c>
      <c r="E959">
        <v>86</v>
      </c>
      <c r="F959">
        <v>63</v>
      </c>
      <c r="G959" s="1">
        <v>7000</v>
      </c>
      <c r="H959" s="1">
        <v>7000</v>
      </c>
      <c r="I959" s="1">
        <v>8400</v>
      </c>
      <c r="J959" s="1">
        <v>1200</v>
      </c>
    </row>
    <row r="960" spans="1:10" x14ac:dyDescent="0.3">
      <c r="A960" t="s">
        <v>200</v>
      </c>
      <c r="B960" t="s">
        <v>18</v>
      </c>
      <c r="C960" t="s">
        <v>193</v>
      </c>
      <c r="D960" t="s">
        <v>54</v>
      </c>
      <c r="E960">
        <v>86</v>
      </c>
      <c r="F960">
        <v>84</v>
      </c>
      <c r="G960" s="1">
        <v>8000</v>
      </c>
      <c r="H960" s="1">
        <v>8000</v>
      </c>
      <c r="I960" s="1">
        <v>9600</v>
      </c>
      <c r="J960" s="1">
        <v>1200</v>
      </c>
    </row>
    <row r="961" spans="1:10" x14ac:dyDescent="0.3">
      <c r="A961" t="s">
        <v>200</v>
      </c>
      <c r="B961" t="s">
        <v>18</v>
      </c>
      <c r="C961" t="s">
        <v>193</v>
      </c>
      <c r="D961" t="s">
        <v>70</v>
      </c>
      <c r="E961">
        <v>86</v>
      </c>
      <c r="F961">
        <v>91</v>
      </c>
      <c r="G961" s="1">
        <v>15000</v>
      </c>
      <c r="H961" s="1">
        <v>15000</v>
      </c>
      <c r="I961" s="1">
        <v>22500</v>
      </c>
      <c r="J961" s="1">
        <v>1500</v>
      </c>
    </row>
    <row r="962" spans="1:10" x14ac:dyDescent="0.3">
      <c r="A962" t="s">
        <v>200</v>
      </c>
      <c r="B962" t="s">
        <v>18</v>
      </c>
      <c r="C962" t="s">
        <v>193</v>
      </c>
      <c r="D962" t="s">
        <v>68</v>
      </c>
      <c r="E962">
        <v>86</v>
      </c>
      <c r="F962">
        <v>133</v>
      </c>
      <c r="G962" s="1">
        <v>25000</v>
      </c>
      <c r="H962" s="1">
        <v>25000</v>
      </c>
      <c r="I962" s="1">
        <v>37500</v>
      </c>
      <c r="J962" s="1">
        <v>1500</v>
      </c>
    </row>
    <row r="963" spans="1:10" x14ac:dyDescent="0.3">
      <c r="A963" t="s">
        <v>200</v>
      </c>
      <c r="B963" t="s">
        <v>18</v>
      </c>
      <c r="C963" t="s">
        <v>193</v>
      </c>
      <c r="D963" t="s">
        <v>65</v>
      </c>
      <c r="E963">
        <v>86</v>
      </c>
      <c r="F963">
        <v>147</v>
      </c>
      <c r="G963" s="1">
        <v>4000</v>
      </c>
      <c r="H963" s="1">
        <v>4000</v>
      </c>
      <c r="I963" s="1">
        <v>4800</v>
      </c>
      <c r="J963" s="1">
        <v>1200</v>
      </c>
    </row>
    <row r="964" spans="1:10" x14ac:dyDescent="0.3">
      <c r="A964" t="s">
        <v>200</v>
      </c>
      <c r="B964" t="s">
        <v>17</v>
      </c>
      <c r="C964" t="s">
        <v>193</v>
      </c>
      <c r="D964" t="s">
        <v>44</v>
      </c>
      <c r="E964">
        <v>86</v>
      </c>
      <c r="F964">
        <v>35</v>
      </c>
      <c r="G964" s="1">
        <v>1000</v>
      </c>
      <c r="H964" s="1">
        <v>1000</v>
      </c>
      <c r="I964" s="1">
        <v>1500</v>
      </c>
      <c r="J964" s="1">
        <v>1500</v>
      </c>
    </row>
    <row r="965" spans="1:10" x14ac:dyDescent="0.3">
      <c r="A965" t="s">
        <v>200</v>
      </c>
      <c r="B965" t="s">
        <v>17</v>
      </c>
      <c r="C965" t="s">
        <v>193</v>
      </c>
      <c r="D965" t="s">
        <v>48</v>
      </c>
      <c r="E965">
        <v>86</v>
      </c>
      <c r="F965">
        <v>63</v>
      </c>
      <c r="G965" s="1">
        <v>4000</v>
      </c>
      <c r="H965" s="1">
        <v>4000</v>
      </c>
      <c r="I965" s="1">
        <v>6000</v>
      </c>
      <c r="J965" s="1">
        <v>1500</v>
      </c>
    </row>
    <row r="966" spans="1:10" x14ac:dyDescent="0.3">
      <c r="A966" t="s">
        <v>200</v>
      </c>
      <c r="B966" t="s">
        <v>17</v>
      </c>
      <c r="C966" t="s">
        <v>193</v>
      </c>
      <c r="D966" t="s">
        <v>54</v>
      </c>
      <c r="E966">
        <v>86</v>
      </c>
      <c r="F966">
        <v>84</v>
      </c>
      <c r="G966" s="1">
        <v>5000</v>
      </c>
      <c r="H966" s="1">
        <v>5000</v>
      </c>
      <c r="I966" s="1">
        <v>9000</v>
      </c>
      <c r="J966" s="1">
        <v>1800</v>
      </c>
    </row>
    <row r="967" spans="1:10" x14ac:dyDescent="0.3">
      <c r="A967" t="s">
        <v>200</v>
      </c>
      <c r="B967" t="s">
        <v>17</v>
      </c>
      <c r="C967" t="s">
        <v>193</v>
      </c>
      <c r="D967" t="s">
        <v>70</v>
      </c>
      <c r="E967">
        <v>86</v>
      </c>
      <c r="F967">
        <v>91</v>
      </c>
      <c r="G967" s="1">
        <v>15000</v>
      </c>
      <c r="H967" s="1">
        <v>15000</v>
      </c>
      <c r="I967" s="1">
        <v>33000</v>
      </c>
      <c r="J967" s="1">
        <v>2200</v>
      </c>
    </row>
    <row r="968" spans="1:10" x14ac:dyDescent="0.3">
      <c r="A968" t="s">
        <v>200</v>
      </c>
      <c r="B968" t="s">
        <v>17</v>
      </c>
      <c r="C968" t="s">
        <v>193</v>
      </c>
      <c r="D968" t="s">
        <v>68</v>
      </c>
      <c r="E968">
        <v>86</v>
      </c>
      <c r="F968">
        <v>133</v>
      </c>
      <c r="G968" s="1">
        <v>20000</v>
      </c>
      <c r="H968" s="1">
        <v>20000</v>
      </c>
      <c r="I968" s="1">
        <v>40000</v>
      </c>
      <c r="J968" s="1">
        <v>2000</v>
      </c>
    </row>
    <row r="969" spans="1:10" x14ac:dyDescent="0.3">
      <c r="A969" t="s">
        <v>200</v>
      </c>
      <c r="B969" t="s">
        <v>17</v>
      </c>
      <c r="C969" t="s">
        <v>193</v>
      </c>
      <c r="D969" t="s">
        <v>65</v>
      </c>
      <c r="E969">
        <v>86</v>
      </c>
      <c r="F969">
        <v>147</v>
      </c>
      <c r="G969" s="1">
        <v>4000</v>
      </c>
      <c r="H969" s="1">
        <v>4000</v>
      </c>
      <c r="I969" s="1">
        <v>7200</v>
      </c>
      <c r="J969" s="1">
        <v>1800</v>
      </c>
    </row>
    <row r="970" spans="1:10" x14ac:dyDescent="0.3">
      <c r="A970" t="s">
        <v>200</v>
      </c>
      <c r="B970" t="s">
        <v>14</v>
      </c>
      <c r="C970" t="s">
        <v>193</v>
      </c>
      <c r="D970" t="s">
        <v>44</v>
      </c>
      <c r="E970">
        <v>86</v>
      </c>
      <c r="F970">
        <v>35</v>
      </c>
      <c r="G970" s="1">
        <v>800</v>
      </c>
      <c r="H970" s="1">
        <v>800</v>
      </c>
      <c r="I970" s="1">
        <v>1600</v>
      </c>
      <c r="J970" s="1">
        <v>2000</v>
      </c>
    </row>
    <row r="971" spans="1:10" x14ac:dyDescent="0.3">
      <c r="A971" t="s">
        <v>200</v>
      </c>
      <c r="B971" t="s">
        <v>14</v>
      </c>
      <c r="C971" t="s">
        <v>193</v>
      </c>
      <c r="D971" t="s">
        <v>41</v>
      </c>
      <c r="E971">
        <v>86</v>
      </c>
      <c r="F971">
        <v>49</v>
      </c>
      <c r="G971" s="1">
        <v>300</v>
      </c>
      <c r="H971" s="1">
        <v>300</v>
      </c>
      <c r="I971" s="1">
        <v>600</v>
      </c>
      <c r="J971" s="1">
        <v>2000</v>
      </c>
    </row>
    <row r="972" spans="1:10" x14ac:dyDescent="0.3">
      <c r="A972" t="s">
        <v>200</v>
      </c>
      <c r="B972" t="s">
        <v>14</v>
      </c>
      <c r="C972" t="s">
        <v>193</v>
      </c>
      <c r="D972" t="s">
        <v>48</v>
      </c>
      <c r="E972">
        <v>86</v>
      </c>
      <c r="F972">
        <v>63</v>
      </c>
      <c r="G972" s="1">
        <v>5000</v>
      </c>
      <c r="H972" s="1">
        <v>5000</v>
      </c>
      <c r="I972" s="1">
        <v>10000</v>
      </c>
      <c r="J972" s="1">
        <v>2000</v>
      </c>
    </row>
    <row r="973" spans="1:10" x14ac:dyDescent="0.3">
      <c r="A973" t="s">
        <v>200</v>
      </c>
      <c r="B973" t="s">
        <v>14</v>
      </c>
      <c r="C973" t="s">
        <v>193</v>
      </c>
      <c r="D973" t="s">
        <v>54</v>
      </c>
      <c r="E973">
        <v>86</v>
      </c>
      <c r="F973">
        <v>84</v>
      </c>
      <c r="G973" s="1">
        <v>5000</v>
      </c>
      <c r="H973" s="1">
        <v>5000</v>
      </c>
      <c r="I973" s="1">
        <v>11000</v>
      </c>
      <c r="J973" s="1">
        <v>2200</v>
      </c>
    </row>
    <row r="974" spans="1:10" x14ac:dyDescent="0.3">
      <c r="A974" t="s">
        <v>200</v>
      </c>
      <c r="B974" t="s">
        <v>14</v>
      </c>
      <c r="C974" t="s">
        <v>193</v>
      </c>
      <c r="D974" t="s">
        <v>70</v>
      </c>
      <c r="E974">
        <v>86</v>
      </c>
      <c r="F974">
        <v>91</v>
      </c>
      <c r="G974" s="1">
        <v>15000</v>
      </c>
      <c r="H974" s="1">
        <v>15000</v>
      </c>
      <c r="I974" s="1">
        <v>33000</v>
      </c>
      <c r="J974" s="1">
        <v>2200</v>
      </c>
    </row>
    <row r="975" spans="1:10" x14ac:dyDescent="0.3">
      <c r="A975" t="s">
        <v>200</v>
      </c>
      <c r="B975" t="s">
        <v>14</v>
      </c>
      <c r="C975" t="s">
        <v>193</v>
      </c>
      <c r="D975" t="s">
        <v>68</v>
      </c>
      <c r="E975">
        <v>86</v>
      </c>
      <c r="F975">
        <v>133</v>
      </c>
      <c r="G975" s="1">
        <v>15000</v>
      </c>
      <c r="H975" s="1">
        <v>15000</v>
      </c>
      <c r="I975" s="1">
        <v>33000</v>
      </c>
      <c r="J975" s="1">
        <v>2200</v>
      </c>
    </row>
    <row r="976" spans="1:10" x14ac:dyDescent="0.3">
      <c r="A976" t="s">
        <v>200</v>
      </c>
      <c r="B976" t="s">
        <v>14</v>
      </c>
      <c r="C976" t="s">
        <v>193</v>
      </c>
      <c r="D976" t="s">
        <v>65</v>
      </c>
      <c r="E976">
        <v>86</v>
      </c>
      <c r="F976">
        <v>147</v>
      </c>
      <c r="G976" s="1">
        <v>3000</v>
      </c>
      <c r="H976" s="1">
        <v>3000</v>
      </c>
      <c r="I976" s="1">
        <v>6000</v>
      </c>
      <c r="J976" s="1">
        <v>2000</v>
      </c>
    </row>
    <row r="977" spans="1:10" x14ac:dyDescent="0.3">
      <c r="A977" t="s">
        <v>200</v>
      </c>
      <c r="B977" t="s">
        <v>12</v>
      </c>
      <c r="C977" t="s">
        <v>193</v>
      </c>
      <c r="D977" t="s">
        <v>44</v>
      </c>
      <c r="E977">
        <v>86</v>
      </c>
      <c r="F977">
        <v>35</v>
      </c>
      <c r="G977" s="1">
        <v>1500</v>
      </c>
      <c r="H977" s="1">
        <v>1500</v>
      </c>
      <c r="I977" s="1">
        <v>3000</v>
      </c>
      <c r="J977" s="1">
        <v>2000</v>
      </c>
    </row>
    <row r="978" spans="1:10" x14ac:dyDescent="0.3">
      <c r="A978" t="s">
        <v>200</v>
      </c>
      <c r="B978" t="s">
        <v>12</v>
      </c>
      <c r="C978" t="s">
        <v>193</v>
      </c>
      <c r="D978" t="s">
        <v>48</v>
      </c>
      <c r="E978">
        <v>86</v>
      </c>
      <c r="F978">
        <v>63</v>
      </c>
      <c r="G978" s="1">
        <v>5000</v>
      </c>
      <c r="H978" s="1">
        <v>5000</v>
      </c>
      <c r="I978" s="1">
        <v>7500</v>
      </c>
      <c r="J978" s="1">
        <v>1500</v>
      </c>
    </row>
    <row r="979" spans="1:10" x14ac:dyDescent="0.3">
      <c r="A979" t="s">
        <v>200</v>
      </c>
      <c r="B979" t="s">
        <v>12</v>
      </c>
      <c r="C979" t="s">
        <v>193</v>
      </c>
      <c r="D979" t="s">
        <v>54</v>
      </c>
      <c r="E979">
        <v>86</v>
      </c>
      <c r="F979">
        <v>84</v>
      </c>
      <c r="G979" s="1">
        <v>5000</v>
      </c>
      <c r="H979" s="1">
        <v>5000</v>
      </c>
      <c r="I979" s="1">
        <v>9000</v>
      </c>
      <c r="J979" s="1">
        <v>1800</v>
      </c>
    </row>
    <row r="980" spans="1:10" x14ac:dyDescent="0.3">
      <c r="A980" t="s">
        <v>200</v>
      </c>
      <c r="B980" t="s">
        <v>12</v>
      </c>
      <c r="C980" t="s">
        <v>193</v>
      </c>
      <c r="D980" t="s">
        <v>70</v>
      </c>
      <c r="E980">
        <v>86</v>
      </c>
      <c r="F980">
        <v>91</v>
      </c>
      <c r="G980" s="1">
        <v>20000</v>
      </c>
      <c r="H980" s="1">
        <v>20000</v>
      </c>
      <c r="I980" s="1">
        <v>40000</v>
      </c>
      <c r="J980" s="1">
        <v>2000</v>
      </c>
    </row>
    <row r="981" spans="1:10" x14ac:dyDescent="0.3">
      <c r="A981" t="s">
        <v>200</v>
      </c>
      <c r="B981" t="s">
        <v>12</v>
      </c>
      <c r="C981" t="s">
        <v>193</v>
      </c>
      <c r="D981" t="s">
        <v>68</v>
      </c>
      <c r="E981">
        <v>86</v>
      </c>
      <c r="F981">
        <v>133</v>
      </c>
      <c r="G981" s="1">
        <v>18000</v>
      </c>
      <c r="H981" s="1">
        <v>18000</v>
      </c>
      <c r="I981" s="1">
        <v>39600</v>
      </c>
      <c r="J981" s="1">
        <v>2200</v>
      </c>
    </row>
    <row r="982" spans="1:10" x14ac:dyDescent="0.3">
      <c r="A982" t="s">
        <v>200</v>
      </c>
      <c r="B982" t="s">
        <v>12</v>
      </c>
      <c r="C982" t="s">
        <v>193</v>
      </c>
      <c r="D982" t="s">
        <v>65</v>
      </c>
      <c r="E982">
        <v>86</v>
      </c>
      <c r="F982">
        <v>147</v>
      </c>
      <c r="G982" s="1">
        <v>3000</v>
      </c>
      <c r="H982" s="1">
        <v>3000</v>
      </c>
      <c r="I982" s="1">
        <v>6600</v>
      </c>
      <c r="J982" s="1">
        <v>2200</v>
      </c>
    </row>
    <row r="983" spans="1:10" x14ac:dyDescent="0.3">
      <c r="A983" t="s">
        <v>200</v>
      </c>
      <c r="B983" t="s">
        <v>9</v>
      </c>
      <c r="C983" t="s">
        <v>193</v>
      </c>
      <c r="D983" t="s">
        <v>44</v>
      </c>
      <c r="E983">
        <v>86</v>
      </c>
      <c r="F983">
        <v>35</v>
      </c>
      <c r="G983" s="1">
        <v>1000</v>
      </c>
      <c r="H983" s="1">
        <v>1000</v>
      </c>
      <c r="I983" s="1">
        <v>2000</v>
      </c>
      <c r="J983" s="1">
        <v>2000</v>
      </c>
    </row>
    <row r="984" spans="1:10" x14ac:dyDescent="0.3">
      <c r="A984" t="s">
        <v>200</v>
      </c>
      <c r="B984" t="s">
        <v>9</v>
      </c>
      <c r="C984" t="s">
        <v>193</v>
      </c>
      <c r="D984" t="s">
        <v>48</v>
      </c>
      <c r="E984">
        <v>86</v>
      </c>
      <c r="F984">
        <v>63</v>
      </c>
      <c r="G984" s="1">
        <v>6000</v>
      </c>
      <c r="H984" s="1">
        <v>6000</v>
      </c>
      <c r="I984" s="1">
        <v>10800</v>
      </c>
      <c r="J984" s="1">
        <v>1800</v>
      </c>
    </row>
    <row r="985" spans="1:10" x14ac:dyDescent="0.3">
      <c r="A985" t="s">
        <v>200</v>
      </c>
      <c r="B985" t="s">
        <v>9</v>
      </c>
      <c r="C985" t="s">
        <v>193</v>
      </c>
      <c r="D985" t="s">
        <v>54</v>
      </c>
      <c r="E985">
        <v>86</v>
      </c>
      <c r="F985">
        <v>84</v>
      </c>
      <c r="G985" s="1">
        <v>6000</v>
      </c>
      <c r="H985" s="1">
        <v>6000</v>
      </c>
      <c r="I985" s="1">
        <v>10800</v>
      </c>
      <c r="J985" s="1">
        <v>1800</v>
      </c>
    </row>
    <row r="986" spans="1:10" x14ac:dyDescent="0.3">
      <c r="A986" t="s">
        <v>200</v>
      </c>
      <c r="B986" t="s">
        <v>9</v>
      </c>
      <c r="C986" t="s">
        <v>193</v>
      </c>
      <c r="D986" t="s">
        <v>70</v>
      </c>
      <c r="E986">
        <v>86</v>
      </c>
      <c r="F986">
        <v>91</v>
      </c>
      <c r="G986" s="1">
        <v>22000</v>
      </c>
      <c r="H986" s="1">
        <v>22000</v>
      </c>
      <c r="I986" s="1">
        <v>44000</v>
      </c>
      <c r="J986" s="1">
        <v>2000</v>
      </c>
    </row>
    <row r="987" spans="1:10" x14ac:dyDescent="0.3">
      <c r="A987" t="s">
        <v>200</v>
      </c>
      <c r="B987" t="s">
        <v>9</v>
      </c>
      <c r="C987" t="s">
        <v>193</v>
      </c>
      <c r="D987" t="s">
        <v>68</v>
      </c>
      <c r="E987">
        <v>86</v>
      </c>
      <c r="F987">
        <v>133</v>
      </c>
      <c r="G987" s="1">
        <v>20000</v>
      </c>
      <c r="H987" s="1">
        <v>20000</v>
      </c>
      <c r="I987" s="1">
        <v>40000</v>
      </c>
      <c r="J987" s="1">
        <v>2000</v>
      </c>
    </row>
    <row r="988" spans="1:10" x14ac:dyDescent="0.3">
      <c r="A988" t="s">
        <v>200</v>
      </c>
      <c r="B988" t="s">
        <v>9</v>
      </c>
      <c r="C988" t="s">
        <v>193</v>
      </c>
      <c r="D988" t="s">
        <v>65</v>
      </c>
      <c r="E988">
        <v>86</v>
      </c>
      <c r="F988">
        <v>147</v>
      </c>
      <c r="G988" s="1">
        <v>5000</v>
      </c>
      <c r="H988" s="1">
        <v>5000</v>
      </c>
      <c r="I988" s="1">
        <v>10000</v>
      </c>
      <c r="J988" s="1">
        <v>2000</v>
      </c>
    </row>
    <row r="989" spans="1:10" x14ac:dyDescent="0.3">
      <c r="A989" t="s">
        <v>200</v>
      </c>
      <c r="B989" t="s">
        <v>8</v>
      </c>
      <c r="C989" t="s">
        <v>193</v>
      </c>
      <c r="D989" t="s">
        <v>62</v>
      </c>
      <c r="E989">
        <v>86</v>
      </c>
      <c r="F989">
        <v>14</v>
      </c>
      <c r="G989" s="1">
        <v>1350</v>
      </c>
      <c r="H989" s="1">
        <v>1350</v>
      </c>
      <c r="I989" s="1">
        <v>2160</v>
      </c>
      <c r="J989" s="1">
        <v>1600</v>
      </c>
    </row>
    <row r="990" spans="1:10" x14ac:dyDescent="0.3">
      <c r="A990" t="s">
        <v>200</v>
      </c>
      <c r="B990" t="s">
        <v>8</v>
      </c>
      <c r="C990" t="s">
        <v>193</v>
      </c>
      <c r="D990" t="s">
        <v>48</v>
      </c>
      <c r="E990">
        <v>86</v>
      </c>
      <c r="F990">
        <v>63</v>
      </c>
      <c r="G990" s="1">
        <v>6000</v>
      </c>
      <c r="H990" s="1">
        <v>6000</v>
      </c>
      <c r="I990" s="1">
        <v>12000</v>
      </c>
      <c r="J990" s="1">
        <v>2000</v>
      </c>
    </row>
    <row r="991" spans="1:10" x14ac:dyDescent="0.3">
      <c r="A991" t="s">
        <v>200</v>
      </c>
      <c r="B991" t="s">
        <v>8</v>
      </c>
      <c r="C991" t="s">
        <v>193</v>
      </c>
      <c r="D991" t="s">
        <v>75</v>
      </c>
      <c r="E991">
        <v>86</v>
      </c>
      <c r="F991">
        <v>77</v>
      </c>
      <c r="G991" s="1">
        <v>490</v>
      </c>
      <c r="H991" s="1">
        <v>490</v>
      </c>
      <c r="I991" s="1">
        <v>833</v>
      </c>
      <c r="J991" s="1">
        <v>1700</v>
      </c>
    </row>
    <row r="992" spans="1:10" x14ac:dyDescent="0.3">
      <c r="A992" t="s">
        <v>200</v>
      </c>
      <c r="B992" t="s">
        <v>8</v>
      </c>
      <c r="C992" t="s">
        <v>193</v>
      </c>
      <c r="D992" t="s">
        <v>54</v>
      </c>
      <c r="E992">
        <v>86</v>
      </c>
      <c r="F992">
        <v>84</v>
      </c>
      <c r="G992" s="1">
        <v>6000</v>
      </c>
      <c r="H992" s="1">
        <v>6000</v>
      </c>
      <c r="I992" s="1">
        <v>12000</v>
      </c>
      <c r="J992" s="1">
        <v>2000</v>
      </c>
    </row>
    <row r="993" spans="1:10" x14ac:dyDescent="0.3">
      <c r="A993" t="s">
        <v>200</v>
      </c>
      <c r="B993" t="s">
        <v>8</v>
      </c>
      <c r="C993" t="s">
        <v>193</v>
      </c>
      <c r="D993" t="s">
        <v>70</v>
      </c>
      <c r="E993">
        <v>86</v>
      </c>
      <c r="F993">
        <v>91</v>
      </c>
      <c r="G993" s="1">
        <v>20000</v>
      </c>
      <c r="H993" s="1">
        <v>20000</v>
      </c>
      <c r="I993" s="1">
        <v>40000</v>
      </c>
      <c r="J993" s="1">
        <v>2000</v>
      </c>
    </row>
    <row r="994" spans="1:10" x14ac:dyDescent="0.3">
      <c r="A994" t="s">
        <v>200</v>
      </c>
      <c r="B994" t="s">
        <v>8</v>
      </c>
      <c r="C994" t="s">
        <v>193</v>
      </c>
      <c r="D994" t="s">
        <v>69</v>
      </c>
      <c r="E994">
        <v>86</v>
      </c>
      <c r="F994">
        <v>98</v>
      </c>
      <c r="G994" s="1">
        <v>780</v>
      </c>
      <c r="H994" s="1">
        <v>780</v>
      </c>
      <c r="I994" s="1">
        <v>1326</v>
      </c>
      <c r="J994" s="1">
        <v>1700</v>
      </c>
    </row>
    <row r="995" spans="1:10" x14ac:dyDescent="0.3">
      <c r="A995" t="s">
        <v>200</v>
      </c>
      <c r="B995" t="s">
        <v>8</v>
      </c>
      <c r="C995" t="s">
        <v>193</v>
      </c>
      <c r="D995" t="s">
        <v>72</v>
      </c>
      <c r="E995">
        <v>86</v>
      </c>
      <c r="F995">
        <v>119</v>
      </c>
      <c r="G995" s="1">
        <v>2400</v>
      </c>
      <c r="H995" s="1">
        <v>2400</v>
      </c>
      <c r="I995" s="1">
        <v>4080</v>
      </c>
      <c r="J995" s="1">
        <v>1700</v>
      </c>
    </row>
    <row r="996" spans="1:10" x14ac:dyDescent="0.3">
      <c r="A996" t="s">
        <v>200</v>
      </c>
      <c r="B996" t="s">
        <v>8</v>
      </c>
      <c r="C996" t="s">
        <v>193</v>
      </c>
      <c r="D996" t="s">
        <v>68</v>
      </c>
      <c r="E996">
        <v>86</v>
      </c>
      <c r="F996">
        <v>133</v>
      </c>
      <c r="G996" s="1">
        <v>15000</v>
      </c>
      <c r="H996" s="1">
        <v>15000</v>
      </c>
      <c r="I996" s="1">
        <v>30000</v>
      </c>
      <c r="J996" s="1">
        <v>2000</v>
      </c>
    </row>
    <row r="997" spans="1:10" x14ac:dyDescent="0.3">
      <c r="A997" t="s">
        <v>200</v>
      </c>
      <c r="B997" t="s">
        <v>8</v>
      </c>
      <c r="C997" t="s">
        <v>193</v>
      </c>
      <c r="D997" t="s">
        <v>65</v>
      </c>
      <c r="E997">
        <v>86</v>
      </c>
      <c r="F997">
        <v>147</v>
      </c>
      <c r="G997" s="1">
        <v>5000</v>
      </c>
      <c r="H997" s="1">
        <v>5000</v>
      </c>
      <c r="I997" s="1">
        <v>10000</v>
      </c>
      <c r="J997" s="1">
        <v>2000</v>
      </c>
    </row>
    <row r="998" spans="1:10" x14ac:dyDescent="0.3">
      <c r="A998" t="s">
        <v>200</v>
      </c>
      <c r="B998" t="s">
        <v>7</v>
      </c>
      <c r="C998" t="s">
        <v>193</v>
      </c>
      <c r="D998" t="s">
        <v>62</v>
      </c>
      <c r="E998">
        <v>86</v>
      </c>
      <c r="F998">
        <v>14</v>
      </c>
      <c r="G998" s="1">
        <v>1350</v>
      </c>
      <c r="H998" s="1">
        <v>1350</v>
      </c>
      <c r="I998" s="1">
        <v>2025</v>
      </c>
      <c r="J998" s="1">
        <v>1500</v>
      </c>
    </row>
    <row r="999" spans="1:10" x14ac:dyDescent="0.3">
      <c r="A999" t="s">
        <v>200</v>
      </c>
      <c r="B999" t="s">
        <v>7</v>
      </c>
      <c r="C999" t="s">
        <v>193</v>
      </c>
      <c r="D999" t="s">
        <v>44</v>
      </c>
      <c r="E999">
        <v>86</v>
      </c>
      <c r="F999">
        <v>35</v>
      </c>
      <c r="G999" s="1">
        <v>1600</v>
      </c>
      <c r="H999" s="1">
        <v>1600</v>
      </c>
      <c r="I999" s="1">
        <v>3180</v>
      </c>
      <c r="J999" s="1">
        <v>1988</v>
      </c>
    </row>
    <row r="1000" spans="1:10" x14ac:dyDescent="0.3">
      <c r="A1000" t="s">
        <v>200</v>
      </c>
      <c r="B1000" t="s">
        <v>7</v>
      </c>
      <c r="C1000" t="s">
        <v>193</v>
      </c>
      <c r="D1000" t="s">
        <v>41</v>
      </c>
      <c r="E1000">
        <v>86</v>
      </c>
      <c r="F1000">
        <v>49</v>
      </c>
      <c r="G1000" s="1">
        <v>750</v>
      </c>
      <c r="H1000" s="1">
        <v>750</v>
      </c>
      <c r="I1000" s="1">
        <v>1200</v>
      </c>
      <c r="J1000" s="1">
        <v>1600</v>
      </c>
    </row>
    <row r="1001" spans="1:10" x14ac:dyDescent="0.3">
      <c r="A1001" t="s">
        <v>200</v>
      </c>
      <c r="B1001" t="s">
        <v>7</v>
      </c>
      <c r="C1001" t="s">
        <v>193</v>
      </c>
      <c r="D1001" t="s">
        <v>48</v>
      </c>
      <c r="E1001">
        <v>86</v>
      </c>
      <c r="F1001">
        <v>63</v>
      </c>
      <c r="G1001" s="1">
        <v>6650</v>
      </c>
      <c r="H1001" s="1">
        <v>6650</v>
      </c>
      <c r="I1001" s="1">
        <v>13170</v>
      </c>
      <c r="J1001" s="1">
        <v>1980</v>
      </c>
    </row>
    <row r="1002" spans="1:10" x14ac:dyDescent="0.3">
      <c r="A1002" t="s">
        <v>200</v>
      </c>
      <c r="B1002" t="s">
        <v>7</v>
      </c>
      <c r="C1002" t="s">
        <v>193</v>
      </c>
      <c r="D1002" t="s">
        <v>38</v>
      </c>
      <c r="E1002">
        <v>86</v>
      </c>
      <c r="F1002">
        <v>70</v>
      </c>
      <c r="G1002" s="1">
        <v>300</v>
      </c>
      <c r="H1002" s="1">
        <v>300</v>
      </c>
      <c r="I1002" s="1">
        <v>450</v>
      </c>
      <c r="J1002" s="1">
        <v>1500</v>
      </c>
    </row>
    <row r="1003" spans="1:10" x14ac:dyDescent="0.3">
      <c r="A1003" t="s">
        <v>200</v>
      </c>
      <c r="B1003" t="s">
        <v>7</v>
      </c>
      <c r="C1003" t="s">
        <v>193</v>
      </c>
      <c r="D1003" t="s">
        <v>75</v>
      </c>
      <c r="E1003">
        <v>86</v>
      </c>
      <c r="F1003">
        <v>77</v>
      </c>
      <c r="G1003" s="1">
        <v>500</v>
      </c>
      <c r="H1003" s="1">
        <v>500</v>
      </c>
      <c r="I1003" s="1">
        <v>750</v>
      </c>
      <c r="J1003" s="1">
        <v>1500</v>
      </c>
    </row>
    <row r="1004" spans="1:10" x14ac:dyDescent="0.3">
      <c r="A1004" t="s">
        <v>200</v>
      </c>
      <c r="B1004" t="s">
        <v>7</v>
      </c>
      <c r="C1004" t="s">
        <v>193</v>
      </c>
      <c r="D1004" t="s">
        <v>54</v>
      </c>
      <c r="E1004">
        <v>86</v>
      </c>
      <c r="F1004">
        <v>84</v>
      </c>
      <c r="G1004" s="1">
        <v>6550</v>
      </c>
      <c r="H1004" s="1">
        <v>6550</v>
      </c>
      <c r="I1004" s="1">
        <v>12990</v>
      </c>
      <c r="J1004" s="1">
        <v>1983</v>
      </c>
    </row>
    <row r="1005" spans="1:10" x14ac:dyDescent="0.3">
      <c r="A1005" t="s">
        <v>200</v>
      </c>
      <c r="B1005" t="s">
        <v>7</v>
      </c>
      <c r="C1005" t="s">
        <v>193</v>
      </c>
      <c r="D1005" t="s">
        <v>70</v>
      </c>
      <c r="E1005">
        <v>86</v>
      </c>
      <c r="F1005">
        <v>91</v>
      </c>
      <c r="G1005" s="1">
        <v>20830</v>
      </c>
      <c r="H1005" s="1">
        <v>20830</v>
      </c>
      <c r="I1005" s="1">
        <v>45494</v>
      </c>
      <c r="J1005" s="1">
        <v>2184</v>
      </c>
    </row>
    <row r="1006" spans="1:10" x14ac:dyDescent="0.3">
      <c r="A1006" t="s">
        <v>200</v>
      </c>
      <c r="B1006" t="s">
        <v>7</v>
      </c>
      <c r="C1006" t="s">
        <v>193</v>
      </c>
      <c r="D1006" t="s">
        <v>69</v>
      </c>
      <c r="E1006">
        <v>86</v>
      </c>
      <c r="F1006">
        <v>98</v>
      </c>
      <c r="G1006" s="1">
        <v>800</v>
      </c>
      <c r="H1006" s="1">
        <v>800</v>
      </c>
      <c r="I1006" s="1">
        <v>1200</v>
      </c>
      <c r="J1006" s="1">
        <v>1500</v>
      </c>
    </row>
    <row r="1007" spans="1:10" x14ac:dyDescent="0.3">
      <c r="A1007" t="s">
        <v>200</v>
      </c>
      <c r="B1007" t="s">
        <v>7</v>
      </c>
      <c r="C1007" t="s">
        <v>193</v>
      </c>
      <c r="D1007" t="s">
        <v>72</v>
      </c>
      <c r="E1007">
        <v>86</v>
      </c>
      <c r="F1007">
        <v>119</v>
      </c>
      <c r="G1007" s="1">
        <v>3150</v>
      </c>
      <c r="H1007" s="1">
        <v>3150</v>
      </c>
      <c r="I1007" s="1">
        <v>4725</v>
      </c>
      <c r="J1007" s="1">
        <v>1500</v>
      </c>
    </row>
    <row r="1008" spans="1:10" x14ac:dyDescent="0.3">
      <c r="A1008" t="s">
        <v>200</v>
      </c>
      <c r="B1008" t="s">
        <v>7</v>
      </c>
      <c r="C1008" t="s">
        <v>193</v>
      </c>
      <c r="D1008" t="s">
        <v>68</v>
      </c>
      <c r="E1008">
        <v>86</v>
      </c>
      <c r="F1008">
        <v>133</v>
      </c>
      <c r="G1008" s="1">
        <v>15650</v>
      </c>
      <c r="H1008" s="1">
        <v>15650</v>
      </c>
      <c r="I1008" s="1">
        <v>31170</v>
      </c>
      <c r="J1008" s="1">
        <v>1992</v>
      </c>
    </row>
    <row r="1009" spans="1:10" x14ac:dyDescent="0.3">
      <c r="A1009" t="s">
        <v>200</v>
      </c>
      <c r="B1009" t="s">
        <v>7</v>
      </c>
      <c r="C1009" t="s">
        <v>193</v>
      </c>
      <c r="D1009" t="s">
        <v>65</v>
      </c>
      <c r="E1009">
        <v>86</v>
      </c>
      <c r="F1009">
        <v>147</v>
      </c>
      <c r="G1009" s="1">
        <v>5230</v>
      </c>
      <c r="H1009" s="1">
        <v>5230</v>
      </c>
      <c r="I1009" s="1">
        <v>10414</v>
      </c>
      <c r="J1009" s="1">
        <v>1991</v>
      </c>
    </row>
    <row r="1010" spans="1:10" x14ac:dyDescent="0.3">
      <c r="A1010" t="s">
        <v>199</v>
      </c>
      <c r="B1010" t="s">
        <v>6</v>
      </c>
      <c r="C1010" t="s">
        <v>193</v>
      </c>
      <c r="D1010" t="s">
        <v>62</v>
      </c>
      <c r="E1010">
        <v>86</v>
      </c>
      <c r="F1010">
        <v>14</v>
      </c>
      <c r="G1010" s="1">
        <v>1350</v>
      </c>
      <c r="H1010" s="1">
        <v>1350</v>
      </c>
      <c r="I1010" s="1">
        <v>2565</v>
      </c>
      <c r="J1010" s="1">
        <v>1900</v>
      </c>
    </row>
    <row r="1011" spans="1:10" x14ac:dyDescent="0.3">
      <c r="A1011" t="s">
        <v>199</v>
      </c>
      <c r="B1011" t="s">
        <v>6</v>
      </c>
      <c r="C1011" t="s">
        <v>193</v>
      </c>
      <c r="D1011" t="s">
        <v>44</v>
      </c>
      <c r="E1011">
        <v>86</v>
      </c>
      <c r="F1011">
        <v>35</v>
      </c>
      <c r="G1011" s="1">
        <v>1000</v>
      </c>
      <c r="H1011" s="1">
        <v>1000</v>
      </c>
      <c r="I1011" s="1">
        <v>1500</v>
      </c>
      <c r="J1011" s="1">
        <v>1500</v>
      </c>
    </row>
    <row r="1012" spans="1:10" x14ac:dyDescent="0.3">
      <c r="A1012" t="s">
        <v>199</v>
      </c>
      <c r="B1012" t="s">
        <v>6</v>
      </c>
      <c r="C1012" t="s">
        <v>193</v>
      </c>
      <c r="D1012" t="s">
        <v>48</v>
      </c>
      <c r="E1012">
        <v>86</v>
      </c>
      <c r="F1012">
        <v>63</v>
      </c>
      <c r="G1012" s="1">
        <v>6000</v>
      </c>
      <c r="H1012" s="1">
        <v>6000</v>
      </c>
      <c r="I1012" s="1">
        <v>9000</v>
      </c>
      <c r="J1012" s="1">
        <v>1500</v>
      </c>
    </row>
    <row r="1013" spans="1:10" x14ac:dyDescent="0.3">
      <c r="A1013" t="s">
        <v>199</v>
      </c>
      <c r="B1013" t="s">
        <v>6</v>
      </c>
      <c r="C1013" t="s">
        <v>193</v>
      </c>
      <c r="D1013" t="s">
        <v>75</v>
      </c>
      <c r="E1013">
        <v>86</v>
      </c>
      <c r="F1013">
        <v>77</v>
      </c>
      <c r="G1013" s="1">
        <v>500</v>
      </c>
      <c r="H1013" s="1">
        <v>500</v>
      </c>
      <c r="I1013" s="1">
        <v>1100</v>
      </c>
      <c r="J1013" s="1">
        <v>2200</v>
      </c>
    </row>
    <row r="1014" spans="1:10" x14ac:dyDescent="0.3">
      <c r="A1014" t="s">
        <v>199</v>
      </c>
      <c r="B1014" t="s">
        <v>6</v>
      </c>
      <c r="C1014" t="s">
        <v>193</v>
      </c>
      <c r="D1014" t="s">
        <v>54</v>
      </c>
      <c r="E1014">
        <v>86</v>
      </c>
      <c r="F1014">
        <v>84</v>
      </c>
      <c r="G1014" s="1">
        <v>6000</v>
      </c>
      <c r="H1014" s="1">
        <v>6000</v>
      </c>
      <c r="I1014" s="1">
        <v>9000</v>
      </c>
      <c r="J1014" s="1">
        <v>1500</v>
      </c>
    </row>
    <row r="1015" spans="1:10" x14ac:dyDescent="0.3">
      <c r="A1015" t="s">
        <v>199</v>
      </c>
      <c r="B1015" t="s">
        <v>6</v>
      </c>
      <c r="C1015" t="s">
        <v>193</v>
      </c>
      <c r="D1015" t="s">
        <v>70</v>
      </c>
      <c r="E1015">
        <v>86</v>
      </c>
      <c r="F1015">
        <v>91</v>
      </c>
      <c r="G1015" s="1">
        <v>20000</v>
      </c>
      <c r="H1015" s="1">
        <v>20000</v>
      </c>
      <c r="I1015" s="1">
        <v>30000</v>
      </c>
      <c r="J1015" s="1">
        <v>1500</v>
      </c>
    </row>
    <row r="1016" spans="1:10" x14ac:dyDescent="0.3">
      <c r="A1016" t="s">
        <v>199</v>
      </c>
      <c r="B1016" t="s">
        <v>6</v>
      </c>
      <c r="C1016" t="s">
        <v>193</v>
      </c>
      <c r="D1016" t="s">
        <v>69</v>
      </c>
      <c r="E1016">
        <v>86</v>
      </c>
      <c r="F1016">
        <v>98</v>
      </c>
      <c r="G1016" s="1">
        <v>800</v>
      </c>
      <c r="H1016" s="1">
        <v>800</v>
      </c>
      <c r="I1016" s="1">
        <v>1760</v>
      </c>
      <c r="J1016" s="1">
        <v>2200</v>
      </c>
    </row>
    <row r="1017" spans="1:10" x14ac:dyDescent="0.3">
      <c r="A1017" t="s">
        <v>199</v>
      </c>
      <c r="B1017" t="s">
        <v>6</v>
      </c>
      <c r="C1017" t="s">
        <v>193</v>
      </c>
      <c r="D1017" t="s">
        <v>72</v>
      </c>
      <c r="E1017">
        <v>86</v>
      </c>
      <c r="F1017">
        <v>119</v>
      </c>
      <c r="G1017" s="1">
        <v>3150</v>
      </c>
      <c r="H1017" s="1">
        <v>3150</v>
      </c>
      <c r="I1017" s="1">
        <v>7245</v>
      </c>
      <c r="J1017" s="1">
        <v>2300</v>
      </c>
    </row>
    <row r="1018" spans="1:10" x14ac:dyDescent="0.3">
      <c r="A1018" t="s">
        <v>199</v>
      </c>
      <c r="B1018" t="s">
        <v>6</v>
      </c>
      <c r="C1018" t="s">
        <v>193</v>
      </c>
      <c r="D1018" t="s">
        <v>68</v>
      </c>
      <c r="E1018">
        <v>86</v>
      </c>
      <c r="F1018">
        <v>133</v>
      </c>
      <c r="G1018" s="1">
        <v>15000</v>
      </c>
      <c r="H1018" s="1">
        <v>15000</v>
      </c>
      <c r="I1018" s="1">
        <v>22500</v>
      </c>
      <c r="J1018" s="1">
        <v>1500</v>
      </c>
    </row>
    <row r="1019" spans="1:10" x14ac:dyDescent="0.3">
      <c r="A1019" t="s">
        <v>199</v>
      </c>
      <c r="B1019" t="s">
        <v>6</v>
      </c>
      <c r="C1019" t="s">
        <v>193</v>
      </c>
      <c r="D1019" t="s">
        <v>65</v>
      </c>
      <c r="E1019">
        <v>86</v>
      </c>
      <c r="F1019">
        <v>147</v>
      </c>
      <c r="G1019" s="1">
        <v>5000</v>
      </c>
      <c r="H1019" s="1">
        <v>5000</v>
      </c>
      <c r="I1019" s="1">
        <v>7500</v>
      </c>
      <c r="J1019" s="1">
        <v>1500</v>
      </c>
    </row>
    <row r="1020" spans="1:10" x14ac:dyDescent="0.3">
      <c r="A1020" t="s">
        <v>198</v>
      </c>
      <c r="B1020" t="s">
        <v>6</v>
      </c>
      <c r="C1020" t="s">
        <v>193</v>
      </c>
      <c r="D1020" t="s">
        <v>44</v>
      </c>
      <c r="E1020">
        <v>86</v>
      </c>
      <c r="F1020">
        <v>35</v>
      </c>
      <c r="G1020" s="1">
        <v>500</v>
      </c>
      <c r="H1020" s="1">
        <v>500</v>
      </c>
      <c r="I1020" s="1">
        <v>750</v>
      </c>
      <c r="J1020" s="1">
        <v>1500</v>
      </c>
    </row>
    <row r="1021" spans="1:10" x14ac:dyDescent="0.3">
      <c r="A1021" t="s">
        <v>198</v>
      </c>
      <c r="B1021" t="s">
        <v>6</v>
      </c>
      <c r="C1021" t="s">
        <v>193</v>
      </c>
      <c r="D1021" t="s">
        <v>48</v>
      </c>
      <c r="E1021">
        <v>86</v>
      </c>
      <c r="F1021">
        <v>63</v>
      </c>
      <c r="G1021" s="1">
        <v>650</v>
      </c>
      <c r="H1021" s="1">
        <v>650</v>
      </c>
      <c r="I1021" s="1">
        <v>780</v>
      </c>
      <c r="J1021" s="1">
        <v>1200</v>
      </c>
    </row>
    <row r="1022" spans="1:10" x14ac:dyDescent="0.3">
      <c r="A1022" t="s">
        <v>198</v>
      </c>
      <c r="B1022" t="s">
        <v>6</v>
      </c>
      <c r="C1022" t="s">
        <v>193</v>
      </c>
      <c r="D1022" t="s">
        <v>70</v>
      </c>
      <c r="E1022">
        <v>86</v>
      </c>
      <c r="F1022">
        <v>91</v>
      </c>
      <c r="G1022" s="1">
        <v>800</v>
      </c>
      <c r="H1022" s="1">
        <v>800</v>
      </c>
      <c r="I1022" s="1">
        <v>1200</v>
      </c>
      <c r="J1022" s="1">
        <v>1500</v>
      </c>
    </row>
    <row r="1023" spans="1:10" x14ac:dyDescent="0.3">
      <c r="A1023" t="s">
        <v>198</v>
      </c>
      <c r="B1023" t="s">
        <v>6</v>
      </c>
      <c r="C1023" t="s">
        <v>193</v>
      </c>
      <c r="D1023" t="s">
        <v>68</v>
      </c>
      <c r="E1023">
        <v>86</v>
      </c>
      <c r="F1023">
        <v>133</v>
      </c>
      <c r="G1023" s="1">
        <v>700</v>
      </c>
      <c r="H1023" s="1">
        <v>700</v>
      </c>
      <c r="I1023" s="1">
        <v>1050</v>
      </c>
      <c r="J1023" s="1">
        <v>1500</v>
      </c>
    </row>
    <row r="1024" spans="1:10" x14ac:dyDescent="0.3">
      <c r="A1024" t="s">
        <v>198</v>
      </c>
      <c r="B1024" t="s">
        <v>6</v>
      </c>
      <c r="C1024" t="s">
        <v>193</v>
      </c>
      <c r="D1024" t="s">
        <v>65</v>
      </c>
      <c r="E1024">
        <v>86</v>
      </c>
      <c r="F1024">
        <v>147</v>
      </c>
      <c r="G1024" s="1">
        <v>250</v>
      </c>
      <c r="H1024" s="1">
        <v>250</v>
      </c>
      <c r="I1024" s="1">
        <v>375</v>
      </c>
      <c r="J1024" s="1">
        <v>1500</v>
      </c>
    </row>
    <row r="1025" spans="1:10" x14ac:dyDescent="0.3">
      <c r="A1025" t="s">
        <v>200</v>
      </c>
      <c r="B1025" t="s">
        <v>6</v>
      </c>
      <c r="C1025" t="s">
        <v>193</v>
      </c>
      <c r="D1025" t="s">
        <v>62</v>
      </c>
      <c r="E1025">
        <v>86</v>
      </c>
      <c r="F1025">
        <v>14</v>
      </c>
      <c r="G1025" s="1">
        <v>1350</v>
      </c>
      <c r="H1025" s="1">
        <v>1350</v>
      </c>
      <c r="I1025" s="1">
        <v>2565</v>
      </c>
      <c r="J1025" s="1">
        <v>1900</v>
      </c>
    </row>
    <row r="1026" spans="1:10" x14ac:dyDescent="0.3">
      <c r="A1026" t="s">
        <v>200</v>
      </c>
      <c r="B1026" t="s">
        <v>6</v>
      </c>
      <c r="C1026" t="s">
        <v>193</v>
      </c>
      <c r="D1026" t="s">
        <v>44</v>
      </c>
      <c r="E1026">
        <v>86</v>
      </c>
      <c r="F1026">
        <v>35</v>
      </c>
      <c r="G1026" s="1">
        <v>1500</v>
      </c>
      <c r="H1026" s="1">
        <v>1500</v>
      </c>
      <c r="I1026" s="1">
        <v>2250</v>
      </c>
      <c r="J1026" s="1">
        <v>1500</v>
      </c>
    </row>
    <row r="1027" spans="1:10" x14ac:dyDescent="0.3">
      <c r="A1027" t="s">
        <v>200</v>
      </c>
      <c r="B1027" t="s">
        <v>6</v>
      </c>
      <c r="C1027" t="s">
        <v>193</v>
      </c>
      <c r="D1027" t="s">
        <v>48</v>
      </c>
      <c r="E1027">
        <v>86</v>
      </c>
      <c r="F1027">
        <v>63</v>
      </c>
      <c r="G1027" s="1">
        <v>6650</v>
      </c>
      <c r="H1027" s="1">
        <v>6650</v>
      </c>
      <c r="I1027" s="1">
        <v>9780</v>
      </c>
      <c r="J1027" s="1">
        <v>1471</v>
      </c>
    </row>
    <row r="1028" spans="1:10" x14ac:dyDescent="0.3">
      <c r="A1028" t="s">
        <v>200</v>
      </c>
      <c r="B1028" t="s">
        <v>6</v>
      </c>
      <c r="C1028" t="s">
        <v>193</v>
      </c>
      <c r="D1028" t="s">
        <v>75</v>
      </c>
      <c r="E1028">
        <v>86</v>
      </c>
      <c r="F1028">
        <v>77</v>
      </c>
      <c r="G1028" s="1">
        <v>500</v>
      </c>
      <c r="H1028" s="1">
        <v>500</v>
      </c>
      <c r="I1028" s="1">
        <v>1100</v>
      </c>
      <c r="J1028" s="1">
        <v>2200</v>
      </c>
    </row>
    <row r="1029" spans="1:10" x14ac:dyDescent="0.3">
      <c r="A1029" t="s">
        <v>200</v>
      </c>
      <c r="B1029" t="s">
        <v>6</v>
      </c>
      <c r="C1029" t="s">
        <v>193</v>
      </c>
      <c r="D1029" t="s">
        <v>54</v>
      </c>
      <c r="E1029">
        <v>86</v>
      </c>
      <c r="F1029">
        <v>84</v>
      </c>
      <c r="G1029" s="1">
        <v>6000</v>
      </c>
      <c r="H1029" s="1">
        <v>6000</v>
      </c>
      <c r="I1029" s="1">
        <v>9000</v>
      </c>
      <c r="J1029" s="1">
        <v>1500</v>
      </c>
    </row>
    <row r="1030" spans="1:10" x14ac:dyDescent="0.3">
      <c r="A1030" t="s">
        <v>200</v>
      </c>
      <c r="B1030" t="s">
        <v>6</v>
      </c>
      <c r="C1030" t="s">
        <v>193</v>
      </c>
      <c r="D1030" t="s">
        <v>70</v>
      </c>
      <c r="E1030">
        <v>86</v>
      </c>
      <c r="F1030">
        <v>91</v>
      </c>
      <c r="G1030" s="1">
        <v>20800</v>
      </c>
      <c r="H1030" s="1">
        <v>20800</v>
      </c>
      <c r="I1030" s="1">
        <v>31200</v>
      </c>
      <c r="J1030" s="1">
        <v>1500</v>
      </c>
    </row>
    <row r="1031" spans="1:10" x14ac:dyDescent="0.3">
      <c r="A1031" t="s">
        <v>200</v>
      </c>
      <c r="B1031" t="s">
        <v>6</v>
      </c>
      <c r="C1031" t="s">
        <v>193</v>
      </c>
      <c r="D1031" t="s">
        <v>69</v>
      </c>
      <c r="E1031">
        <v>86</v>
      </c>
      <c r="F1031">
        <v>98</v>
      </c>
      <c r="G1031" s="1">
        <v>800</v>
      </c>
      <c r="H1031" s="1">
        <v>800</v>
      </c>
      <c r="I1031" s="1">
        <v>1760</v>
      </c>
      <c r="J1031" s="1">
        <v>2200</v>
      </c>
    </row>
    <row r="1032" spans="1:10" x14ac:dyDescent="0.3">
      <c r="A1032" t="s">
        <v>200</v>
      </c>
      <c r="B1032" t="s">
        <v>6</v>
      </c>
      <c r="C1032" t="s">
        <v>193</v>
      </c>
      <c r="D1032" t="s">
        <v>72</v>
      </c>
      <c r="E1032">
        <v>86</v>
      </c>
      <c r="F1032">
        <v>119</v>
      </c>
      <c r="G1032" s="1">
        <v>3150</v>
      </c>
      <c r="H1032" s="1">
        <v>3150</v>
      </c>
      <c r="I1032" s="1">
        <v>7245</v>
      </c>
      <c r="J1032" s="1">
        <v>2300</v>
      </c>
    </row>
    <row r="1033" spans="1:10" x14ac:dyDescent="0.3">
      <c r="A1033" t="s">
        <v>200</v>
      </c>
      <c r="B1033" t="s">
        <v>6</v>
      </c>
      <c r="C1033" t="s">
        <v>193</v>
      </c>
      <c r="D1033" t="s">
        <v>68</v>
      </c>
      <c r="E1033">
        <v>86</v>
      </c>
      <c r="F1033">
        <v>133</v>
      </c>
      <c r="G1033" s="1">
        <v>15700</v>
      </c>
      <c r="H1033" s="1">
        <v>15700</v>
      </c>
      <c r="I1033" s="1">
        <v>23550</v>
      </c>
      <c r="J1033" s="1">
        <v>1500</v>
      </c>
    </row>
    <row r="1034" spans="1:10" x14ac:dyDescent="0.3">
      <c r="A1034" t="s">
        <v>200</v>
      </c>
      <c r="B1034" t="s">
        <v>6</v>
      </c>
      <c r="C1034" t="s">
        <v>193</v>
      </c>
      <c r="D1034" t="s">
        <v>65</v>
      </c>
      <c r="E1034">
        <v>86</v>
      </c>
      <c r="F1034">
        <v>147</v>
      </c>
      <c r="G1034" s="1">
        <v>5250</v>
      </c>
      <c r="H1034" s="1">
        <v>5250</v>
      </c>
      <c r="I1034" s="1">
        <v>7875</v>
      </c>
      <c r="J1034" s="1">
        <v>1500</v>
      </c>
    </row>
    <row r="1035" spans="1:10" x14ac:dyDescent="0.3">
      <c r="A1035" t="s">
        <v>199</v>
      </c>
      <c r="B1035" t="s">
        <v>6</v>
      </c>
      <c r="C1035" t="s">
        <v>193</v>
      </c>
      <c r="D1035" t="s">
        <v>192</v>
      </c>
      <c r="E1035">
        <v>86</v>
      </c>
      <c r="F1035">
        <v>0</v>
      </c>
      <c r="G1035" s="1">
        <v>58800</v>
      </c>
      <c r="H1035" s="1">
        <v>58800</v>
      </c>
      <c r="I1035" s="1">
        <v>92170</v>
      </c>
      <c r="J1035" s="1">
        <v>1568</v>
      </c>
    </row>
    <row r="1036" spans="1:10" x14ac:dyDescent="0.3">
      <c r="A1036" t="s">
        <v>198</v>
      </c>
      <c r="B1036" t="s">
        <v>6</v>
      </c>
      <c r="C1036" t="s">
        <v>193</v>
      </c>
      <c r="D1036" t="s">
        <v>192</v>
      </c>
      <c r="E1036">
        <v>86</v>
      </c>
      <c r="F1036">
        <v>0</v>
      </c>
      <c r="G1036" s="1">
        <v>2900</v>
      </c>
      <c r="H1036" s="1">
        <v>2900</v>
      </c>
      <c r="I1036" s="1">
        <v>4155</v>
      </c>
      <c r="J1036" s="1">
        <v>1433</v>
      </c>
    </row>
    <row r="1037" spans="1:10" x14ac:dyDescent="0.3">
      <c r="A1037" t="s">
        <v>199</v>
      </c>
      <c r="B1037" t="s">
        <v>5</v>
      </c>
      <c r="C1037" t="s">
        <v>193</v>
      </c>
      <c r="D1037" t="s">
        <v>62</v>
      </c>
      <c r="E1037">
        <v>86</v>
      </c>
      <c r="F1037">
        <v>14</v>
      </c>
      <c r="G1037" s="1">
        <v>3300</v>
      </c>
      <c r="H1037" s="1">
        <v>3300</v>
      </c>
      <c r="I1037" s="1">
        <v>5940</v>
      </c>
      <c r="J1037" s="1">
        <v>1800</v>
      </c>
    </row>
    <row r="1038" spans="1:10" x14ac:dyDescent="0.3">
      <c r="A1038" t="s">
        <v>199</v>
      </c>
      <c r="B1038" t="s">
        <v>5</v>
      </c>
      <c r="C1038" t="s">
        <v>193</v>
      </c>
      <c r="D1038" t="s">
        <v>44</v>
      </c>
      <c r="E1038">
        <v>86</v>
      </c>
      <c r="F1038">
        <v>35</v>
      </c>
      <c r="G1038" s="1">
        <v>1000</v>
      </c>
      <c r="H1038" s="1">
        <v>1000</v>
      </c>
      <c r="I1038" s="1">
        <v>2000</v>
      </c>
      <c r="J1038" s="1">
        <v>2000</v>
      </c>
    </row>
    <row r="1039" spans="1:10" x14ac:dyDescent="0.3">
      <c r="A1039" t="s">
        <v>199</v>
      </c>
      <c r="B1039" t="s">
        <v>5</v>
      </c>
      <c r="C1039" t="s">
        <v>193</v>
      </c>
      <c r="D1039" t="s">
        <v>41</v>
      </c>
      <c r="E1039">
        <v>86</v>
      </c>
      <c r="F1039">
        <v>49</v>
      </c>
      <c r="G1039" s="1">
        <v>2100</v>
      </c>
      <c r="H1039" s="1">
        <v>2100</v>
      </c>
      <c r="I1039" s="1">
        <v>3780</v>
      </c>
      <c r="J1039" s="1">
        <v>1800</v>
      </c>
    </row>
    <row r="1040" spans="1:10" x14ac:dyDescent="0.3">
      <c r="A1040" t="s">
        <v>199</v>
      </c>
      <c r="B1040" t="s">
        <v>5</v>
      </c>
      <c r="C1040" t="s">
        <v>193</v>
      </c>
      <c r="D1040" t="s">
        <v>48</v>
      </c>
      <c r="E1040">
        <v>86</v>
      </c>
      <c r="F1040">
        <v>63</v>
      </c>
      <c r="G1040" s="1">
        <v>6000</v>
      </c>
      <c r="H1040" s="1">
        <v>6000</v>
      </c>
      <c r="I1040" s="1">
        <v>12000</v>
      </c>
      <c r="J1040" s="1">
        <v>2000</v>
      </c>
    </row>
    <row r="1041" spans="1:10" x14ac:dyDescent="0.3">
      <c r="A1041" t="s">
        <v>199</v>
      </c>
      <c r="B1041" t="s">
        <v>5</v>
      </c>
      <c r="C1041" t="s">
        <v>193</v>
      </c>
      <c r="D1041" t="s">
        <v>38</v>
      </c>
      <c r="E1041">
        <v>86</v>
      </c>
      <c r="F1041">
        <v>70</v>
      </c>
      <c r="G1041" s="1">
        <v>1500</v>
      </c>
      <c r="H1041" s="1">
        <v>1500</v>
      </c>
      <c r="I1041" s="1">
        <v>3000</v>
      </c>
      <c r="J1041" s="1">
        <v>2000</v>
      </c>
    </row>
    <row r="1042" spans="1:10" x14ac:dyDescent="0.3">
      <c r="A1042" t="s">
        <v>199</v>
      </c>
      <c r="B1042" t="s">
        <v>5</v>
      </c>
      <c r="C1042" t="s">
        <v>193</v>
      </c>
      <c r="D1042" t="s">
        <v>75</v>
      </c>
      <c r="E1042">
        <v>86</v>
      </c>
      <c r="F1042">
        <v>77</v>
      </c>
      <c r="G1042" s="1">
        <v>2250</v>
      </c>
      <c r="H1042" s="1">
        <v>2250</v>
      </c>
      <c r="I1042" s="1">
        <v>3825</v>
      </c>
      <c r="J1042" s="1">
        <v>1700</v>
      </c>
    </row>
    <row r="1043" spans="1:10" x14ac:dyDescent="0.3">
      <c r="A1043" t="s">
        <v>199</v>
      </c>
      <c r="B1043" t="s">
        <v>5</v>
      </c>
      <c r="C1043" t="s">
        <v>193</v>
      </c>
      <c r="D1043" t="s">
        <v>54</v>
      </c>
      <c r="E1043">
        <v>86</v>
      </c>
      <c r="F1043">
        <v>84</v>
      </c>
      <c r="G1043" s="1">
        <v>7000</v>
      </c>
      <c r="H1043" s="1">
        <v>7000</v>
      </c>
      <c r="I1043" s="1">
        <v>14000</v>
      </c>
      <c r="J1043" s="1">
        <v>2000</v>
      </c>
    </row>
    <row r="1044" spans="1:10" x14ac:dyDescent="0.3">
      <c r="A1044" t="s">
        <v>199</v>
      </c>
      <c r="B1044" t="s">
        <v>5</v>
      </c>
      <c r="C1044" t="s">
        <v>193</v>
      </c>
      <c r="D1044" t="s">
        <v>70</v>
      </c>
      <c r="E1044">
        <v>86</v>
      </c>
      <c r="F1044">
        <v>91</v>
      </c>
      <c r="G1044" s="1">
        <v>20000</v>
      </c>
      <c r="H1044" s="1">
        <v>20000</v>
      </c>
      <c r="I1044" s="1">
        <v>50000</v>
      </c>
      <c r="J1044" s="1">
        <v>2500</v>
      </c>
    </row>
    <row r="1045" spans="1:10" x14ac:dyDescent="0.3">
      <c r="A1045" t="s">
        <v>199</v>
      </c>
      <c r="B1045" t="s">
        <v>5</v>
      </c>
      <c r="C1045" t="s">
        <v>193</v>
      </c>
      <c r="D1045" t="s">
        <v>69</v>
      </c>
      <c r="E1045">
        <v>86</v>
      </c>
      <c r="F1045">
        <v>98</v>
      </c>
      <c r="G1045" s="1">
        <v>2150</v>
      </c>
      <c r="H1045" s="1">
        <v>2150</v>
      </c>
      <c r="I1045" s="1">
        <v>3655</v>
      </c>
      <c r="J1045" s="1">
        <v>1700</v>
      </c>
    </row>
    <row r="1046" spans="1:10" x14ac:dyDescent="0.3">
      <c r="A1046" t="s">
        <v>199</v>
      </c>
      <c r="B1046" t="s">
        <v>5</v>
      </c>
      <c r="C1046" t="s">
        <v>193</v>
      </c>
      <c r="D1046" t="s">
        <v>72</v>
      </c>
      <c r="E1046">
        <v>86</v>
      </c>
      <c r="F1046">
        <v>119</v>
      </c>
      <c r="G1046" s="1">
        <v>6700</v>
      </c>
      <c r="H1046" s="1">
        <v>6700</v>
      </c>
      <c r="I1046" s="1">
        <v>12730</v>
      </c>
      <c r="J1046" s="1">
        <v>1900</v>
      </c>
    </row>
    <row r="1047" spans="1:10" x14ac:dyDescent="0.3">
      <c r="A1047" t="s">
        <v>199</v>
      </c>
      <c r="B1047" t="s">
        <v>5</v>
      </c>
      <c r="C1047" t="s">
        <v>193</v>
      </c>
      <c r="D1047" t="s">
        <v>46</v>
      </c>
      <c r="E1047">
        <v>86</v>
      </c>
      <c r="F1047">
        <v>126</v>
      </c>
      <c r="G1047" s="1">
        <v>11600</v>
      </c>
      <c r="H1047" s="1">
        <v>11600</v>
      </c>
      <c r="I1047" s="1">
        <v>23200</v>
      </c>
      <c r="J1047" s="1">
        <v>2000</v>
      </c>
    </row>
    <row r="1048" spans="1:10" x14ac:dyDescent="0.3">
      <c r="A1048" t="s">
        <v>199</v>
      </c>
      <c r="B1048" t="s">
        <v>5</v>
      </c>
      <c r="C1048" t="s">
        <v>193</v>
      </c>
      <c r="D1048" t="s">
        <v>68</v>
      </c>
      <c r="E1048">
        <v>86</v>
      </c>
      <c r="F1048">
        <v>133</v>
      </c>
      <c r="G1048" s="1">
        <v>15000</v>
      </c>
      <c r="H1048" s="1">
        <v>15000</v>
      </c>
      <c r="I1048" s="1">
        <v>30000</v>
      </c>
      <c r="J1048" s="1">
        <v>2000</v>
      </c>
    </row>
    <row r="1049" spans="1:10" x14ac:dyDescent="0.3">
      <c r="A1049" t="s">
        <v>199</v>
      </c>
      <c r="B1049" t="s">
        <v>5</v>
      </c>
      <c r="C1049" t="s">
        <v>193</v>
      </c>
      <c r="D1049" t="s">
        <v>29</v>
      </c>
      <c r="E1049">
        <v>86</v>
      </c>
      <c r="F1049">
        <v>140</v>
      </c>
      <c r="G1049" s="1">
        <v>2200</v>
      </c>
      <c r="H1049" s="1">
        <v>2200</v>
      </c>
      <c r="I1049" s="1">
        <v>4400</v>
      </c>
      <c r="J1049" s="1">
        <v>2000</v>
      </c>
    </row>
    <row r="1050" spans="1:10" x14ac:dyDescent="0.3">
      <c r="A1050" t="s">
        <v>199</v>
      </c>
      <c r="B1050" t="s">
        <v>5</v>
      </c>
      <c r="C1050" t="s">
        <v>193</v>
      </c>
      <c r="D1050" t="s">
        <v>65</v>
      </c>
      <c r="E1050">
        <v>86</v>
      </c>
      <c r="F1050">
        <v>147</v>
      </c>
      <c r="G1050" s="1">
        <v>10000</v>
      </c>
      <c r="H1050" s="1">
        <v>10000</v>
      </c>
      <c r="I1050" s="1">
        <v>20000</v>
      </c>
      <c r="J1050" s="1">
        <v>2000</v>
      </c>
    </row>
    <row r="1051" spans="1:10" x14ac:dyDescent="0.3">
      <c r="A1051" t="s">
        <v>199</v>
      </c>
      <c r="B1051" t="s">
        <v>5</v>
      </c>
      <c r="C1051" t="s">
        <v>193</v>
      </c>
      <c r="D1051" t="s">
        <v>33</v>
      </c>
      <c r="E1051">
        <v>86</v>
      </c>
      <c r="F1051">
        <v>189</v>
      </c>
      <c r="G1051" s="1">
        <v>100</v>
      </c>
      <c r="H1051" s="1">
        <v>100</v>
      </c>
      <c r="I1051" s="1">
        <v>180</v>
      </c>
      <c r="J1051" s="1">
        <v>1800</v>
      </c>
    </row>
    <row r="1052" spans="1:10" x14ac:dyDescent="0.3">
      <c r="A1052" t="s">
        <v>198</v>
      </c>
      <c r="B1052" t="s">
        <v>5</v>
      </c>
      <c r="C1052" t="s">
        <v>193</v>
      </c>
      <c r="D1052" t="s">
        <v>41</v>
      </c>
      <c r="E1052">
        <v>86</v>
      </c>
      <c r="F1052">
        <v>49</v>
      </c>
      <c r="G1052" s="1">
        <v>300</v>
      </c>
      <c r="H1052" s="1">
        <v>300</v>
      </c>
      <c r="I1052" s="1">
        <v>600</v>
      </c>
      <c r="J1052" s="1">
        <v>2000</v>
      </c>
    </row>
    <row r="1053" spans="1:10" x14ac:dyDescent="0.3">
      <c r="A1053" t="s">
        <v>198</v>
      </c>
      <c r="B1053" t="s">
        <v>5</v>
      </c>
      <c r="C1053" t="s">
        <v>193</v>
      </c>
      <c r="D1053" t="s">
        <v>48</v>
      </c>
      <c r="E1053">
        <v>86</v>
      </c>
      <c r="F1053">
        <v>63</v>
      </c>
      <c r="G1053" s="1">
        <v>700</v>
      </c>
      <c r="H1053" s="1">
        <v>700</v>
      </c>
      <c r="I1053" s="1">
        <v>1050</v>
      </c>
      <c r="J1053" s="1">
        <v>1500</v>
      </c>
    </row>
    <row r="1054" spans="1:10" x14ac:dyDescent="0.3">
      <c r="A1054" t="s">
        <v>198</v>
      </c>
      <c r="B1054" t="s">
        <v>5</v>
      </c>
      <c r="C1054" t="s">
        <v>193</v>
      </c>
      <c r="D1054" t="s">
        <v>38</v>
      </c>
      <c r="E1054">
        <v>86</v>
      </c>
      <c r="F1054">
        <v>70</v>
      </c>
      <c r="G1054" s="1">
        <v>1500</v>
      </c>
      <c r="H1054" s="1">
        <v>1500</v>
      </c>
      <c r="I1054" s="1">
        <v>2700</v>
      </c>
      <c r="J1054" s="1">
        <v>1800</v>
      </c>
    </row>
    <row r="1055" spans="1:10" x14ac:dyDescent="0.3">
      <c r="A1055" t="s">
        <v>198</v>
      </c>
      <c r="B1055" t="s">
        <v>5</v>
      </c>
      <c r="C1055" t="s">
        <v>193</v>
      </c>
      <c r="D1055" t="s">
        <v>54</v>
      </c>
      <c r="E1055">
        <v>86</v>
      </c>
      <c r="F1055">
        <v>84</v>
      </c>
      <c r="G1055" s="1">
        <v>1200</v>
      </c>
      <c r="H1055" s="1">
        <v>1200</v>
      </c>
      <c r="I1055" s="1">
        <v>2160</v>
      </c>
      <c r="J1055" s="1">
        <v>1800</v>
      </c>
    </row>
    <row r="1056" spans="1:10" x14ac:dyDescent="0.3">
      <c r="A1056" t="s">
        <v>198</v>
      </c>
      <c r="B1056" t="s">
        <v>5</v>
      </c>
      <c r="C1056" t="s">
        <v>193</v>
      </c>
      <c r="D1056" t="s">
        <v>70</v>
      </c>
      <c r="E1056">
        <v>86</v>
      </c>
      <c r="F1056">
        <v>91</v>
      </c>
      <c r="G1056" s="1">
        <v>1300</v>
      </c>
      <c r="H1056" s="1">
        <v>1300</v>
      </c>
      <c r="I1056" s="1">
        <v>2600</v>
      </c>
      <c r="J1056" s="1">
        <v>2000</v>
      </c>
    </row>
    <row r="1057" spans="1:10" x14ac:dyDescent="0.3">
      <c r="A1057" t="s">
        <v>198</v>
      </c>
      <c r="B1057" t="s">
        <v>5</v>
      </c>
      <c r="C1057" t="s">
        <v>193</v>
      </c>
      <c r="D1057" t="s">
        <v>46</v>
      </c>
      <c r="E1057">
        <v>86</v>
      </c>
      <c r="F1057">
        <v>126</v>
      </c>
      <c r="G1057" s="1">
        <v>500</v>
      </c>
      <c r="H1057" s="1">
        <v>500</v>
      </c>
      <c r="I1057" s="1">
        <v>900</v>
      </c>
      <c r="J1057" s="1">
        <v>1800</v>
      </c>
    </row>
    <row r="1058" spans="1:10" x14ac:dyDescent="0.3">
      <c r="A1058" t="s">
        <v>198</v>
      </c>
      <c r="B1058" t="s">
        <v>5</v>
      </c>
      <c r="C1058" t="s">
        <v>193</v>
      </c>
      <c r="D1058" t="s">
        <v>68</v>
      </c>
      <c r="E1058">
        <v>86</v>
      </c>
      <c r="F1058">
        <v>133</v>
      </c>
      <c r="G1058" s="1">
        <v>700</v>
      </c>
      <c r="H1058" s="1">
        <v>700</v>
      </c>
      <c r="I1058" s="1">
        <v>1400</v>
      </c>
      <c r="J1058" s="1">
        <v>2000</v>
      </c>
    </row>
    <row r="1059" spans="1:10" x14ac:dyDescent="0.3">
      <c r="A1059" t="s">
        <v>200</v>
      </c>
      <c r="B1059" t="s">
        <v>5</v>
      </c>
      <c r="C1059" t="s">
        <v>193</v>
      </c>
      <c r="D1059" t="s">
        <v>62</v>
      </c>
      <c r="E1059">
        <v>86</v>
      </c>
      <c r="F1059">
        <v>14</v>
      </c>
      <c r="G1059" s="1">
        <v>3300</v>
      </c>
      <c r="H1059" s="1">
        <v>3300</v>
      </c>
      <c r="I1059" s="1">
        <v>5940</v>
      </c>
      <c r="J1059" s="1">
        <v>1800</v>
      </c>
    </row>
    <row r="1060" spans="1:10" x14ac:dyDescent="0.3">
      <c r="A1060" t="s">
        <v>200</v>
      </c>
      <c r="B1060" t="s">
        <v>5</v>
      </c>
      <c r="C1060" t="s">
        <v>193</v>
      </c>
      <c r="D1060" t="s">
        <v>44</v>
      </c>
      <c r="E1060">
        <v>86</v>
      </c>
      <c r="F1060">
        <v>35</v>
      </c>
      <c r="G1060" s="1">
        <v>1000</v>
      </c>
      <c r="H1060" s="1">
        <v>1000</v>
      </c>
      <c r="I1060" s="1">
        <v>2000</v>
      </c>
      <c r="J1060" s="1">
        <v>2000</v>
      </c>
    </row>
    <row r="1061" spans="1:10" x14ac:dyDescent="0.3">
      <c r="A1061" t="s">
        <v>200</v>
      </c>
      <c r="B1061" t="s">
        <v>5</v>
      </c>
      <c r="C1061" t="s">
        <v>193</v>
      </c>
      <c r="D1061" t="s">
        <v>41</v>
      </c>
      <c r="E1061">
        <v>86</v>
      </c>
      <c r="F1061">
        <v>49</v>
      </c>
      <c r="G1061" s="1">
        <v>2400</v>
      </c>
      <c r="H1061" s="1">
        <v>2400</v>
      </c>
      <c r="I1061" s="1">
        <v>4380</v>
      </c>
      <c r="J1061" s="1">
        <v>1825</v>
      </c>
    </row>
    <row r="1062" spans="1:10" x14ac:dyDescent="0.3">
      <c r="A1062" t="s">
        <v>200</v>
      </c>
      <c r="B1062" t="s">
        <v>5</v>
      </c>
      <c r="C1062" t="s">
        <v>193</v>
      </c>
      <c r="D1062" t="s">
        <v>48</v>
      </c>
      <c r="E1062">
        <v>86</v>
      </c>
      <c r="F1062">
        <v>63</v>
      </c>
      <c r="G1062" s="1">
        <v>6700</v>
      </c>
      <c r="H1062" s="1">
        <v>6700</v>
      </c>
      <c r="I1062" s="1">
        <v>13050</v>
      </c>
      <c r="J1062" s="1">
        <v>1948</v>
      </c>
    </row>
    <row r="1063" spans="1:10" x14ac:dyDescent="0.3">
      <c r="A1063" t="s">
        <v>200</v>
      </c>
      <c r="B1063" t="s">
        <v>5</v>
      </c>
      <c r="C1063" t="s">
        <v>193</v>
      </c>
      <c r="D1063" t="s">
        <v>38</v>
      </c>
      <c r="E1063">
        <v>86</v>
      </c>
      <c r="F1063">
        <v>70</v>
      </c>
      <c r="G1063" s="1">
        <v>3000</v>
      </c>
      <c r="H1063" s="1">
        <v>3000</v>
      </c>
      <c r="I1063" s="1">
        <v>5700</v>
      </c>
      <c r="J1063" s="1">
        <v>1900</v>
      </c>
    </row>
    <row r="1064" spans="1:10" x14ac:dyDescent="0.3">
      <c r="A1064" t="s">
        <v>200</v>
      </c>
      <c r="B1064" t="s">
        <v>5</v>
      </c>
      <c r="C1064" t="s">
        <v>193</v>
      </c>
      <c r="D1064" t="s">
        <v>75</v>
      </c>
      <c r="E1064">
        <v>86</v>
      </c>
      <c r="F1064">
        <v>77</v>
      </c>
      <c r="G1064" s="1">
        <v>2250</v>
      </c>
      <c r="H1064" s="1">
        <v>2250</v>
      </c>
      <c r="I1064" s="1">
        <v>3825</v>
      </c>
      <c r="J1064" s="1">
        <v>1700</v>
      </c>
    </row>
    <row r="1065" spans="1:10" x14ac:dyDescent="0.3">
      <c r="A1065" t="s">
        <v>200</v>
      </c>
      <c r="B1065" t="s">
        <v>5</v>
      </c>
      <c r="C1065" t="s">
        <v>193</v>
      </c>
      <c r="D1065" t="s">
        <v>54</v>
      </c>
      <c r="E1065">
        <v>86</v>
      </c>
      <c r="F1065">
        <v>84</v>
      </c>
      <c r="G1065" s="1">
        <v>8200</v>
      </c>
      <c r="H1065" s="1">
        <v>8200</v>
      </c>
      <c r="I1065" s="1">
        <v>16160</v>
      </c>
      <c r="J1065" s="1">
        <v>1971</v>
      </c>
    </row>
    <row r="1066" spans="1:10" x14ac:dyDescent="0.3">
      <c r="A1066" t="s">
        <v>200</v>
      </c>
      <c r="B1066" t="s">
        <v>5</v>
      </c>
      <c r="C1066" t="s">
        <v>193</v>
      </c>
      <c r="D1066" t="s">
        <v>70</v>
      </c>
      <c r="E1066">
        <v>86</v>
      </c>
      <c r="F1066">
        <v>91</v>
      </c>
      <c r="G1066" s="1">
        <v>21300</v>
      </c>
      <c r="H1066" s="1">
        <v>21300</v>
      </c>
      <c r="I1066" s="1">
        <v>52600</v>
      </c>
      <c r="J1066" s="1">
        <v>2469</v>
      </c>
    </row>
    <row r="1067" spans="1:10" x14ac:dyDescent="0.3">
      <c r="A1067" t="s">
        <v>200</v>
      </c>
      <c r="B1067" t="s">
        <v>5</v>
      </c>
      <c r="C1067" t="s">
        <v>193</v>
      </c>
      <c r="D1067" t="s">
        <v>69</v>
      </c>
      <c r="E1067">
        <v>86</v>
      </c>
      <c r="F1067">
        <v>98</v>
      </c>
      <c r="G1067" s="1">
        <v>2150</v>
      </c>
      <c r="H1067" s="1">
        <v>2150</v>
      </c>
      <c r="I1067" s="1">
        <v>3655</v>
      </c>
      <c r="J1067" s="1">
        <v>1700</v>
      </c>
    </row>
    <row r="1068" spans="1:10" x14ac:dyDescent="0.3">
      <c r="A1068" t="s">
        <v>200</v>
      </c>
      <c r="B1068" t="s">
        <v>5</v>
      </c>
      <c r="C1068" t="s">
        <v>193</v>
      </c>
      <c r="D1068" t="s">
        <v>72</v>
      </c>
      <c r="E1068">
        <v>86</v>
      </c>
      <c r="F1068">
        <v>119</v>
      </c>
      <c r="G1068" s="1">
        <v>6700</v>
      </c>
      <c r="H1068" s="1">
        <v>6700</v>
      </c>
      <c r="I1068" s="1">
        <v>12730</v>
      </c>
      <c r="J1068" s="1">
        <v>1900</v>
      </c>
    </row>
    <row r="1069" spans="1:10" x14ac:dyDescent="0.3">
      <c r="A1069" t="s">
        <v>200</v>
      </c>
      <c r="B1069" t="s">
        <v>5</v>
      </c>
      <c r="C1069" t="s">
        <v>193</v>
      </c>
      <c r="D1069" t="s">
        <v>46</v>
      </c>
      <c r="E1069">
        <v>86</v>
      </c>
      <c r="F1069">
        <v>126</v>
      </c>
      <c r="G1069" s="1">
        <v>12100</v>
      </c>
      <c r="H1069" s="1">
        <v>12100</v>
      </c>
      <c r="I1069" s="1">
        <v>24100</v>
      </c>
      <c r="J1069" s="1">
        <v>1992</v>
      </c>
    </row>
    <row r="1070" spans="1:10" x14ac:dyDescent="0.3">
      <c r="A1070" t="s">
        <v>200</v>
      </c>
      <c r="B1070" t="s">
        <v>5</v>
      </c>
      <c r="C1070" t="s">
        <v>193</v>
      </c>
      <c r="D1070" t="s">
        <v>68</v>
      </c>
      <c r="E1070">
        <v>86</v>
      </c>
      <c r="F1070">
        <v>133</v>
      </c>
      <c r="G1070" s="1">
        <v>15700</v>
      </c>
      <c r="H1070" s="1">
        <v>15700</v>
      </c>
      <c r="I1070" s="1">
        <v>31400</v>
      </c>
      <c r="J1070" s="1">
        <v>2000</v>
      </c>
    </row>
    <row r="1071" spans="1:10" x14ac:dyDescent="0.3">
      <c r="A1071" t="s">
        <v>200</v>
      </c>
      <c r="B1071" t="s">
        <v>5</v>
      </c>
      <c r="C1071" t="s">
        <v>193</v>
      </c>
      <c r="D1071" t="s">
        <v>29</v>
      </c>
      <c r="E1071">
        <v>86</v>
      </c>
      <c r="F1071">
        <v>140</v>
      </c>
      <c r="G1071" s="1">
        <v>2200</v>
      </c>
      <c r="H1071" s="1">
        <v>2200</v>
      </c>
      <c r="I1071" s="1">
        <v>4400</v>
      </c>
      <c r="J1071" s="1">
        <v>2000</v>
      </c>
    </row>
    <row r="1072" spans="1:10" x14ac:dyDescent="0.3">
      <c r="A1072" t="s">
        <v>200</v>
      </c>
      <c r="B1072" t="s">
        <v>5</v>
      </c>
      <c r="C1072" t="s">
        <v>193</v>
      </c>
      <c r="D1072" t="s">
        <v>65</v>
      </c>
      <c r="E1072">
        <v>86</v>
      </c>
      <c r="F1072">
        <v>147</v>
      </c>
      <c r="G1072" s="1">
        <v>10000</v>
      </c>
      <c r="H1072" s="1">
        <v>10000</v>
      </c>
      <c r="I1072" s="1">
        <v>20000</v>
      </c>
      <c r="J1072" s="1">
        <v>2000</v>
      </c>
    </row>
    <row r="1073" spans="1:10" x14ac:dyDescent="0.3">
      <c r="A1073" t="s">
        <v>200</v>
      </c>
      <c r="B1073" t="s">
        <v>5</v>
      </c>
      <c r="C1073" t="s">
        <v>193</v>
      </c>
      <c r="D1073" t="s">
        <v>33</v>
      </c>
      <c r="E1073">
        <v>86</v>
      </c>
      <c r="F1073">
        <v>189</v>
      </c>
      <c r="G1073" s="1">
        <v>100</v>
      </c>
      <c r="H1073" s="1">
        <v>100</v>
      </c>
      <c r="I1073" s="1">
        <v>180</v>
      </c>
      <c r="J1073" s="1">
        <v>1800</v>
      </c>
    </row>
    <row r="1074" spans="1:10" x14ac:dyDescent="0.3">
      <c r="A1074" t="s">
        <v>199</v>
      </c>
      <c r="B1074" t="s">
        <v>5</v>
      </c>
      <c r="C1074" t="s">
        <v>193</v>
      </c>
      <c r="D1074" t="s">
        <v>192</v>
      </c>
      <c r="E1074">
        <v>86</v>
      </c>
      <c r="F1074">
        <v>0</v>
      </c>
      <c r="G1074" s="1">
        <v>90900</v>
      </c>
      <c r="H1074" s="1">
        <v>90900</v>
      </c>
      <c r="I1074" s="1">
        <v>188710</v>
      </c>
      <c r="J1074" s="1">
        <v>2076</v>
      </c>
    </row>
    <row r="1075" spans="1:10" x14ac:dyDescent="0.3">
      <c r="A1075" t="s">
        <v>198</v>
      </c>
      <c r="B1075" t="s">
        <v>5</v>
      </c>
      <c r="C1075" t="s">
        <v>193</v>
      </c>
      <c r="D1075" t="s">
        <v>192</v>
      </c>
      <c r="E1075">
        <v>86</v>
      </c>
      <c r="F1075">
        <v>0</v>
      </c>
      <c r="G1075" s="1">
        <v>6200</v>
      </c>
      <c r="H1075" s="1">
        <v>6200</v>
      </c>
      <c r="I1075" s="1">
        <v>11410</v>
      </c>
      <c r="J1075" s="1">
        <v>1840</v>
      </c>
    </row>
    <row r="1076" spans="1:10" x14ac:dyDescent="0.3">
      <c r="A1076" t="s">
        <v>199</v>
      </c>
      <c r="B1076" t="s">
        <v>4</v>
      </c>
      <c r="C1076" t="s">
        <v>193</v>
      </c>
      <c r="D1076" t="s">
        <v>62</v>
      </c>
      <c r="E1076">
        <v>86</v>
      </c>
      <c r="F1076">
        <v>14</v>
      </c>
      <c r="G1076" s="1">
        <v>2850</v>
      </c>
      <c r="H1076" s="1">
        <v>2850</v>
      </c>
      <c r="I1076" s="1">
        <v>3705</v>
      </c>
      <c r="J1076" s="1">
        <v>1300</v>
      </c>
    </row>
    <row r="1077" spans="1:10" x14ac:dyDescent="0.3">
      <c r="A1077" t="s">
        <v>199</v>
      </c>
      <c r="B1077" t="s">
        <v>4</v>
      </c>
      <c r="C1077" t="s">
        <v>193</v>
      </c>
      <c r="D1077" t="s">
        <v>44</v>
      </c>
      <c r="E1077">
        <v>86</v>
      </c>
      <c r="F1077">
        <v>35</v>
      </c>
      <c r="G1077" s="1">
        <v>960</v>
      </c>
      <c r="H1077" s="1">
        <v>960</v>
      </c>
      <c r="I1077" s="1">
        <v>960</v>
      </c>
      <c r="J1077" s="1">
        <v>1000</v>
      </c>
    </row>
    <row r="1078" spans="1:10" x14ac:dyDescent="0.3">
      <c r="A1078" t="s">
        <v>199</v>
      </c>
      <c r="B1078" t="s">
        <v>4</v>
      </c>
      <c r="C1078" t="s">
        <v>193</v>
      </c>
      <c r="D1078" t="s">
        <v>41</v>
      </c>
      <c r="E1078">
        <v>86</v>
      </c>
      <c r="F1078">
        <v>49</v>
      </c>
      <c r="G1078" s="1">
        <v>2000</v>
      </c>
      <c r="H1078" s="1">
        <v>1985</v>
      </c>
      <c r="I1078" s="1">
        <v>1588</v>
      </c>
      <c r="J1078" s="1">
        <v>800</v>
      </c>
    </row>
    <row r="1079" spans="1:10" x14ac:dyDescent="0.3">
      <c r="A1079" t="s">
        <v>199</v>
      </c>
      <c r="B1079" t="s">
        <v>4</v>
      </c>
      <c r="C1079" t="s">
        <v>193</v>
      </c>
      <c r="D1079" t="s">
        <v>48</v>
      </c>
      <c r="E1079">
        <v>86</v>
      </c>
      <c r="F1079">
        <v>63</v>
      </c>
      <c r="G1079" s="1">
        <v>5730</v>
      </c>
      <c r="H1079" s="1">
        <v>5710</v>
      </c>
      <c r="I1079" s="1">
        <v>4568</v>
      </c>
      <c r="J1079" s="1">
        <v>800</v>
      </c>
    </row>
    <row r="1080" spans="1:10" x14ac:dyDescent="0.3">
      <c r="A1080" t="s">
        <v>199</v>
      </c>
      <c r="B1080" t="s">
        <v>4</v>
      </c>
      <c r="C1080" t="s">
        <v>193</v>
      </c>
      <c r="D1080" t="s">
        <v>38</v>
      </c>
      <c r="E1080">
        <v>86</v>
      </c>
      <c r="F1080">
        <v>70</v>
      </c>
      <c r="G1080" s="1">
        <v>1450</v>
      </c>
      <c r="H1080" s="1">
        <v>1435</v>
      </c>
      <c r="I1080" s="1">
        <v>1162</v>
      </c>
      <c r="J1080" s="1">
        <v>810</v>
      </c>
    </row>
    <row r="1081" spans="1:10" x14ac:dyDescent="0.3">
      <c r="A1081" t="s">
        <v>199</v>
      </c>
      <c r="B1081" t="s">
        <v>4</v>
      </c>
      <c r="C1081" t="s">
        <v>193</v>
      </c>
      <c r="D1081" t="s">
        <v>75</v>
      </c>
      <c r="E1081">
        <v>86</v>
      </c>
      <c r="F1081">
        <v>77</v>
      </c>
      <c r="G1081" s="1">
        <v>2000</v>
      </c>
      <c r="H1081" s="1">
        <v>2000</v>
      </c>
      <c r="I1081" s="1">
        <v>3800</v>
      </c>
      <c r="J1081" s="1">
        <v>1900</v>
      </c>
    </row>
    <row r="1082" spans="1:10" x14ac:dyDescent="0.3">
      <c r="A1082" t="s">
        <v>199</v>
      </c>
      <c r="B1082" t="s">
        <v>4</v>
      </c>
      <c r="C1082" t="s">
        <v>193</v>
      </c>
      <c r="D1082" t="s">
        <v>54</v>
      </c>
      <c r="E1082">
        <v>86</v>
      </c>
      <c r="F1082">
        <v>84</v>
      </c>
      <c r="G1082" s="1">
        <v>6700</v>
      </c>
      <c r="H1082" s="1">
        <v>6640</v>
      </c>
      <c r="I1082" s="1">
        <v>5445</v>
      </c>
      <c r="J1082" s="1">
        <v>820</v>
      </c>
    </row>
    <row r="1083" spans="1:10" x14ac:dyDescent="0.3">
      <c r="A1083" t="s">
        <v>199</v>
      </c>
      <c r="B1083" t="s">
        <v>4</v>
      </c>
      <c r="C1083" t="s">
        <v>193</v>
      </c>
      <c r="D1083" t="s">
        <v>70</v>
      </c>
      <c r="E1083">
        <v>86</v>
      </c>
      <c r="F1083">
        <v>91</v>
      </c>
      <c r="G1083" s="1">
        <v>19110</v>
      </c>
      <c r="H1083" s="1">
        <v>19025</v>
      </c>
      <c r="I1083" s="1">
        <v>15981</v>
      </c>
      <c r="J1083" s="1">
        <v>840</v>
      </c>
    </row>
    <row r="1084" spans="1:10" x14ac:dyDescent="0.3">
      <c r="A1084" t="s">
        <v>199</v>
      </c>
      <c r="B1084" t="s">
        <v>4</v>
      </c>
      <c r="C1084" t="s">
        <v>193</v>
      </c>
      <c r="D1084" t="s">
        <v>69</v>
      </c>
      <c r="E1084">
        <v>86</v>
      </c>
      <c r="F1084">
        <v>98</v>
      </c>
      <c r="G1084" s="1">
        <v>1960</v>
      </c>
      <c r="H1084" s="1">
        <v>1960</v>
      </c>
      <c r="I1084" s="1">
        <v>3136</v>
      </c>
      <c r="J1084" s="1">
        <v>1600</v>
      </c>
    </row>
    <row r="1085" spans="1:10" x14ac:dyDescent="0.3">
      <c r="A1085" t="s">
        <v>199</v>
      </c>
      <c r="B1085" t="s">
        <v>4</v>
      </c>
      <c r="C1085" t="s">
        <v>193</v>
      </c>
      <c r="D1085" t="s">
        <v>72</v>
      </c>
      <c r="E1085">
        <v>86</v>
      </c>
      <c r="F1085">
        <v>119</v>
      </c>
      <c r="G1085" s="1">
        <v>5200</v>
      </c>
      <c r="H1085" s="1">
        <v>5200</v>
      </c>
      <c r="I1085" s="1">
        <v>7800</v>
      </c>
      <c r="J1085" s="1">
        <v>1500</v>
      </c>
    </row>
    <row r="1086" spans="1:10" x14ac:dyDescent="0.3">
      <c r="A1086" t="s">
        <v>199</v>
      </c>
      <c r="B1086" t="s">
        <v>4</v>
      </c>
      <c r="C1086" t="s">
        <v>193</v>
      </c>
      <c r="D1086" t="s">
        <v>46</v>
      </c>
      <c r="E1086">
        <v>86</v>
      </c>
      <c r="F1086">
        <v>126</v>
      </c>
      <c r="G1086" s="1">
        <v>11100</v>
      </c>
      <c r="H1086" s="1">
        <v>11020</v>
      </c>
      <c r="I1086" s="1">
        <v>10138</v>
      </c>
      <c r="J1086" s="1">
        <v>920</v>
      </c>
    </row>
    <row r="1087" spans="1:10" x14ac:dyDescent="0.3">
      <c r="A1087" t="s">
        <v>199</v>
      </c>
      <c r="B1087" t="s">
        <v>4</v>
      </c>
      <c r="C1087" t="s">
        <v>193</v>
      </c>
      <c r="D1087" t="s">
        <v>68</v>
      </c>
      <c r="E1087">
        <v>86</v>
      </c>
      <c r="F1087">
        <v>133</v>
      </c>
      <c r="G1087" s="1">
        <v>14300</v>
      </c>
      <c r="H1087" s="1">
        <v>14225</v>
      </c>
      <c r="I1087" s="1">
        <v>13514</v>
      </c>
      <c r="J1087" s="1">
        <v>950</v>
      </c>
    </row>
    <row r="1088" spans="1:10" x14ac:dyDescent="0.3">
      <c r="A1088" t="s">
        <v>199</v>
      </c>
      <c r="B1088" t="s">
        <v>4</v>
      </c>
      <c r="C1088" t="s">
        <v>193</v>
      </c>
      <c r="D1088" t="s">
        <v>29</v>
      </c>
      <c r="E1088">
        <v>86</v>
      </c>
      <c r="F1088">
        <v>140</v>
      </c>
      <c r="G1088" s="1">
        <v>2100</v>
      </c>
      <c r="H1088" s="1">
        <v>2050</v>
      </c>
      <c r="I1088" s="1">
        <v>2153</v>
      </c>
      <c r="J1088" s="1">
        <v>1050</v>
      </c>
    </row>
    <row r="1089" spans="1:10" x14ac:dyDescent="0.3">
      <c r="A1089" t="s">
        <v>199</v>
      </c>
      <c r="B1089" t="s">
        <v>4</v>
      </c>
      <c r="C1089" t="s">
        <v>193</v>
      </c>
      <c r="D1089" t="s">
        <v>65</v>
      </c>
      <c r="E1089">
        <v>86</v>
      </c>
      <c r="F1089">
        <v>147</v>
      </c>
      <c r="G1089" s="1">
        <v>9550</v>
      </c>
      <c r="H1089" s="1">
        <v>9505</v>
      </c>
      <c r="I1089" s="1">
        <v>10931</v>
      </c>
      <c r="J1089" s="1">
        <v>1150</v>
      </c>
    </row>
    <row r="1090" spans="1:10" x14ac:dyDescent="0.3">
      <c r="A1090" t="s">
        <v>198</v>
      </c>
      <c r="B1090" t="s">
        <v>4</v>
      </c>
      <c r="C1090" t="s">
        <v>193</v>
      </c>
      <c r="D1090" t="s">
        <v>41</v>
      </c>
      <c r="E1090">
        <v>86</v>
      </c>
      <c r="F1090">
        <v>49</v>
      </c>
      <c r="G1090" s="1">
        <v>300</v>
      </c>
      <c r="H1090" s="1">
        <v>295</v>
      </c>
      <c r="I1090" s="1">
        <v>443</v>
      </c>
      <c r="J1090" s="1">
        <v>1500</v>
      </c>
    </row>
    <row r="1091" spans="1:10" x14ac:dyDescent="0.3">
      <c r="A1091" t="s">
        <v>198</v>
      </c>
      <c r="B1091" t="s">
        <v>4</v>
      </c>
      <c r="C1091" t="s">
        <v>193</v>
      </c>
      <c r="D1091" t="s">
        <v>48</v>
      </c>
      <c r="E1091">
        <v>86</v>
      </c>
      <c r="F1091">
        <v>63</v>
      </c>
      <c r="G1091" s="1">
        <v>700</v>
      </c>
      <c r="H1091" s="1">
        <v>685</v>
      </c>
      <c r="I1091" s="1">
        <v>959</v>
      </c>
      <c r="J1091" s="1">
        <v>1400</v>
      </c>
    </row>
    <row r="1092" spans="1:10" x14ac:dyDescent="0.3">
      <c r="A1092" t="s">
        <v>198</v>
      </c>
      <c r="B1092" t="s">
        <v>4</v>
      </c>
      <c r="C1092" t="s">
        <v>193</v>
      </c>
      <c r="D1092" t="s">
        <v>38</v>
      </c>
      <c r="E1092">
        <v>86</v>
      </c>
      <c r="F1092">
        <v>70</v>
      </c>
      <c r="G1092" s="1">
        <v>1500</v>
      </c>
      <c r="H1092" s="1">
        <v>1490</v>
      </c>
      <c r="I1092" s="1">
        <v>3725</v>
      </c>
      <c r="J1092" s="1">
        <v>2500</v>
      </c>
    </row>
    <row r="1093" spans="1:10" x14ac:dyDescent="0.3">
      <c r="A1093" t="s">
        <v>198</v>
      </c>
      <c r="B1093" t="s">
        <v>4</v>
      </c>
      <c r="C1093" t="s">
        <v>193</v>
      </c>
      <c r="D1093" t="s">
        <v>54</v>
      </c>
      <c r="E1093">
        <v>86</v>
      </c>
      <c r="F1093">
        <v>84</v>
      </c>
      <c r="G1093" s="1">
        <v>1200</v>
      </c>
      <c r="H1093" s="1">
        <v>1175</v>
      </c>
      <c r="I1093" s="1">
        <v>1763</v>
      </c>
      <c r="J1093" s="1">
        <v>1500</v>
      </c>
    </row>
    <row r="1094" spans="1:10" x14ac:dyDescent="0.3">
      <c r="A1094" t="s">
        <v>198</v>
      </c>
      <c r="B1094" t="s">
        <v>4</v>
      </c>
      <c r="C1094" t="s">
        <v>193</v>
      </c>
      <c r="D1094" t="s">
        <v>70</v>
      </c>
      <c r="E1094">
        <v>86</v>
      </c>
      <c r="F1094">
        <v>91</v>
      </c>
      <c r="G1094" s="1">
        <v>1300</v>
      </c>
      <c r="H1094" s="1">
        <v>1275</v>
      </c>
      <c r="I1094" s="1">
        <v>1785</v>
      </c>
      <c r="J1094" s="1">
        <v>1400</v>
      </c>
    </row>
    <row r="1095" spans="1:10" x14ac:dyDescent="0.3">
      <c r="A1095" t="s">
        <v>198</v>
      </c>
      <c r="B1095" t="s">
        <v>4</v>
      </c>
      <c r="C1095" t="s">
        <v>193</v>
      </c>
      <c r="D1095" t="s">
        <v>46</v>
      </c>
      <c r="E1095">
        <v>86</v>
      </c>
      <c r="F1095">
        <v>126</v>
      </c>
      <c r="G1095" s="1">
        <v>500</v>
      </c>
      <c r="H1095" s="1">
        <v>481</v>
      </c>
      <c r="I1095" s="1">
        <v>481</v>
      </c>
      <c r="J1095" s="1">
        <v>1000</v>
      </c>
    </row>
    <row r="1096" spans="1:10" x14ac:dyDescent="0.3">
      <c r="A1096" t="s">
        <v>198</v>
      </c>
      <c r="B1096" t="s">
        <v>4</v>
      </c>
      <c r="C1096" t="s">
        <v>193</v>
      </c>
      <c r="D1096" t="s">
        <v>68</v>
      </c>
      <c r="E1096">
        <v>86</v>
      </c>
      <c r="F1096">
        <v>133</v>
      </c>
      <c r="G1096" s="1">
        <v>700</v>
      </c>
      <c r="H1096" s="1">
        <v>700</v>
      </c>
      <c r="I1096" s="1">
        <v>1050</v>
      </c>
      <c r="J1096" s="1">
        <v>1500</v>
      </c>
    </row>
    <row r="1097" spans="1:10" x14ac:dyDescent="0.3">
      <c r="A1097" t="s">
        <v>198</v>
      </c>
      <c r="B1097" t="s">
        <v>4</v>
      </c>
      <c r="C1097" t="s">
        <v>193</v>
      </c>
      <c r="D1097" t="s">
        <v>65</v>
      </c>
      <c r="E1097">
        <v>86</v>
      </c>
      <c r="F1097">
        <v>147</v>
      </c>
      <c r="G1097" s="1">
        <v>3300</v>
      </c>
      <c r="H1097" s="1">
        <v>3250</v>
      </c>
      <c r="I1097" s="1">
        <v>2600</v>
      </c>
      <c r="J1097" s="1">
        <v>800</v>
      </c>
    </row>
    <row r="1098" spans="1:10" x14ac:dyDescent="0.3">
      <c r="A1098" t="s">
        <v>200</v>
      </c>
      <c r="B1098" t="s">
        <v>4</v>
      </c>
      <c r="C1098" t="s">
        <v>193</v>
      </c>
      <c r="D1098" t="s">
        <v>62</v>
      </c>
      <c r="E1098">
        <v>86</v>
      </c>
      <c r="F1098">
        <v>14</v>
      </c>
      <c r="G1098" s="1">
        <v>2850</v>
      </c>
      <c r="H1098" s="1">
        <v>2850</v>
      </c>
      <c r="I1098" s="1">
        <v>3705</v>
      </c>
      <c r="J1098" s="1">
        <v>1300</v>
      </c>
    </row>
    <row r="1099" spans="1:10" x14ac:dyDescent="0.3">
      <c r="A1099" t="s">
        <v>200</v>
      </c>
      <c r="B1099" t="s">
        <v>4</v>
      </c>
      <c r="C1099" t="s">
        <v>193</v>
      </c>
      <c r="D1099" t="s">
        <v>44</v>
      </c>
      <c r="E1099">
        <v>86</v>
      </c>
      <c r="F1099">
        <v>35</v>
      </c>
      <c r="G1099" s="1">
        <v>960</v>
      </c>
      <c r="H1099" s="1">
        <v>960</v>
      </c>
      <c r="I1099" s="1">
        <v>960</v>
      </c>
      <c r="J1099" s="1">
        <v>1000</v>
      </c>
    </row>
    <row r="1100" spans="1:10" x14ac:dyDescent="0.3">
      <c r="A1100" t="s">
        <v>200</v>
      </c>
      <c r="B1100" t="s">
        <v>4</v>
      </c>
      <c r="C1100" t="s">
        <v>193</v>
      </c>
      <c r="D1100" t="s">
        <v>41</v>
      </c>
      <c r="E1100">
        <v>86</v>
      </c>
      <c r="F1100">
        <v>49</v>
      </c>
      <c r="G1100" s="1">
        <v>2300</v>
      </c>
      <c r="H1100" s="1">
        <v>2280</v>
      </c>
      <c r="I1100" s="1">
        <v>2031</v>
      </c>
      <c r="J1100" s="1">
        <v>891</v>
      </c>
    </row>
    <row r="1101" spans="1:10" x14ac:dyDescent="0.3">
      <c r="A1101" t="s">
        <v>200</v>
      </c>
      <c r="B1101" t="s">
        <v>4</v>
      </c>
      <c r="C1101" t="s">
        <v>193</v>
      </c>
      <c r="D1101" t="s">
        <v>48</v>
      </c>
      <c r="E1101">
        <v>86</v>
      </c>
      <c r="F1101">
        <v>63</v>
      </c>
      <c r="G1101" s="1">
        <v>6430</v>
      </c>
      <c r="H1101" s="1">
        <v>6395</v>
      </c>
      <c r="I1101" s="1">
        <v>5527</v>
      </c>
      <c r="J1101" s="1">
        <v>864</v>
      </c>
    </row>
    <row r="1102" spans="1:10" x14ac:dyDescent="0.3">
      <c r="A1102" t="s">
        <v>200</v>
      </c>
      <c r="B1102" t="s">
        <v>4</v>
      </c>
      <c r="C1102" t="s">
        <v>193</v>
      </c>
      <c r="D1102" t="s">
        <v>38</v>
      </c>
      <c r="E1102">
        <v>86</v>
      </c>
      <c r="F1102">
        <v>70</v>
      </c>
      <c r="G1102" s="1">
        <v>2950</v>
      </c>
      <c r="H1102" s="1">
        <v>2925</v>
      </c>
      <c r="I1102" s="1">
        <v>4887</v>
      </c>
      <c r="J1102" s="1">
        <v>1671</v>
      </c>
    </row>
    <row r="1103" spans="1:10" x14ac:dyDescent="0.3">
      <c r="A1103" t="s">
        <v>200</v>
      </c>
      <c r="B1103" t="s">
        <v>4</v>
      </c>
      <c r="C1103" t="s">
        <v>193</v>
      </c>
      <c r="D1103" t="s">
        <v>75</v>
      </c>
      <c r="E1103">
        <v>86</v>
      </c>
      <c r="F1103">
        <v>77</v>
      </c>
      <c r="G1103" s="1">
        <v>2000</v>
      </c>
      <c r="H1103" s="1">
        <v>2000</v>
      </c>
      <c r="I1103" s="1">
        <v>3800</v>
      </c>
      <c r="J1103" s="1">
        <v>1900</v>
      </c>
    </row>
    <row r="1104" spans="1:10" x14ac:dyDescent="0.3">
      <c r="A1104" t="s">
        <v>200</v>
      </c>
      <c r="B1104" t="s">
        <v>4</v>
      </c>
      <c r="C1104" t="s">
        <v>193</v>
      </c>
      <c r="D1104" t="s">
        <v>54</v>
      </c>
      <c r="E1104">
        <v>86</v>
      </c>
      <c r="F1104">
        <v>84</v>
      </c>
      <c r="G1104" s="1">
        <v>7900</v>
      </c>
      <c r="H1104" s="1">
        <v>7815</v>
      </c>
      <c r="I1104" s="1">
        <v>7207</v>
      </c>
      <c r="J1104" s="1">
        <v>922</v>
      </c>
    </row>
    <row r="1105" spans="1:10" x14ac:dyDescent="0.3">
      <c r="A1105" t="s">
        <v>200</v>
      </c>
      <c r="B1105" t="s">
        <v>4</v>
      </c>
      <c r="C1105" t="s">
        <v>193</v>
      </c>
      <c r="D1105" t="s">
        <v>70</v>
      </c>
      <c r="E1105">
        <v>86</v>
      </c>
      <c r="F1105">
        <v>91</v>
      </c>
      <c r="G1105" s="1">
        <v>20410</v>
      </c>
      <c r="H1105" s="1">
        <v>20300</v>
      </c>
      <c r="I1105" s="1">
        <v>17766</v>
      </c>
      <c r="J1105" s="1">
        <v>875</v>
      </c>
    </row>
    <row r="1106" spans="1:10" x14ac:dyDescent="0.3">
      <c r="A1106" t="s">
        <v>200</v>
      </c>
      <c r="B1106" t="s">
        <v>4</v>
      </c>
      <c r="C1106" t="s">
        <v>193</v>
      </c>
      <c r="D1106" t="s">
        <v>69</v>
      </c>
      <c r="E1106">
        <v>86</v>
      </c>
      <c r="F1106">
        <v>98</v>
      </c>
      <c r="G1106" s="1">
        <v>1960</v>
      </c>
      <c r="H1106" s="1">
        <v>1960</v>
      </c>
      <c r="I1106" s="1">
        <v>3136</v>
      </c>
      <c r="J1106" s="1">
        <v>1600</v>
      </c>
    </row>
    <row r="1107" spans="1:10" x14ac:dyDescent="0.3">
      <c r="A1107" t="s">
        <v>200</v>
      </c>
      <c r="B1107" t="s">
        <v>4</v>
      </c>
      <c r="C1107" t="s">
        <v>193</v>
      </c>
      <c r="D1107" t="s">
        <v>72</v>
      </c>
      <c r="E1107">
        <v>86</v>
      </c>
      <c r="F1107">
        <v>119</v>
      </c>
      <c r="G1107" s="1">
        <v>5200</v>
      </c>
      <c r="H1107" s="1">
        <v>5200</v>
      </c>
      <c r="I1107" s="1">
        <v>7800</v>
      </c>
      <c r="J1107" s="1">
        <v>1500</v>
      </c>
    </row>
    <row r="1108" spans="1:10" x14ac:dyDescent="0.3">
      <c r="A1108" t="s">
        <v>200</v>
      </c>
      <c r="B1108" t="s">
        <v>4</v>
      </c>
      <c r="C1108" t="s">
        <v>193</v>
      </c>
      <c r="D1108" t="s">
        <v>46</v>
      </c>
      <c r="E1108">
        <v>86</v>
      </c>
      <c r="F1108">
        <v>126</v>
      </c>
      <c r="G1108" s="1">
        <v>11600</v>
      </c>
      <c r="H1108" s="1">
        <v>11501</v>
      </c>
      <c r="I1108" s="1">
        <v>10619</v>
      </c>
      <c r="J1108" s="1">
        <v>923</v>
      </c>
    </row>
    <row r="1109" spans="1:10" x14ac:dyDescent="0.3">
      <c r="A1109" t="s">
        <v>200</v>
      </c>
      <c r="B1109" t="s">
        <v>4</v>
      </c>
      <c r="C1109" t="s">
        <v>193</v>
      </c>
      <c r="D1109" t="s">
        <v>68</v>
      </c>
      <c r="E1109">
        <v>86</v>
      </c>
      <c r="F1109">
        <v>133</v>
      </c>
      <c r="G1109" s="1">
        <v>15000</v>
      </c>
      <c r="H1109" s="1">
        <v>14925</v>
      </c>
      <c r="I1109" s="1">
        <v>14564</v>
      </c>
      <c r="J1109" s="1">
        <v>976</v>
      </c>
    </row>
    <row r="1110" spans="1:10" x14ac:dyDescent="0.3">
      <c r="A1110" t="s">
        <v>200</v>
      </c>
      <c r="B1110" t="s">
        <v>4</v>
      </c>
      <c r="C1110" t="s">
        <v>193</v>
      </c>
      <c r="D1110" t="s">
        <v>29</v>
      </c>
      <c r="E1110">
        <v>86</v>
      </c>
      <c r="F1110">
        <v>140</v>
      </c>
      <c r="G1110" s="1">
        <v>2100</v>
      </c>
      <c r="H1110" s="1">
        <v>2050</v>
      </c>
      <c r="I1110" s="1">
        <v>2153</v>
      </c>
      <c r="J1110" s="1">
        <v>1050</v>
      </c>
    </row>
    <row r="1111" spans="1:10" x14ac:dyDescent="0.3">
      <c r="A1111" t="s">
        <v>200</v>
      </c>
      <c r="B1111" t="s">
        <v>4</v>
      </c>
      <c r="C1111" t="s">
        <v>193</v>
      </c>
      <c r="D1111" t="s">
        <v>65</v>
      </c>
      <c r="E1111">
        <v>86</v>
      </c>
      <c r="F1111">
        <v>147</v>
      </c>
      <c r="G1111" s="1">
        <v>12850</v>
      </c>
      <c r="H1111" s="1">
        <v>12755</v>
      </c>
      <c r="I1111" s="1">
        <v>13531</v>
      </c>
      <c r="J1111" s="1">
        <v>1061</v>
      </c>
    </row>
    <row r="1112" spans="1:10" x14ac:dyDescent="0.3">
      <c r="A1112" t="s">
        <v>199</v>
      </c>
      <c r="B1112" t="s">
        <v>4</v>
      </c>
      <c r="C1112" t="s">
        <v>193</v>
      </c>
      <c r="D1112" t="s">
        <v>192</v>
      </c>
      <c r="E1112">
        <v>86</v>
      </c>
      <c r="F1112">
        <v>0</v>
      </c>
      <c r="G1112" s="1">
        <v>85010</v>
      </c>
      <c r="H1112" s="1">
        <v>84565</v>
      </c>
      <c r="I1112" s="1">
        <v>84881</v>
      </c>
      <c r="J1112" s="1">
        <v>1004</v>
      </c>
    </row>
    <row r="1113" spans="1:10" x14ac:dyDescent="0.3">
      <c r="A1113" t="s">
        <v>198</v>
      </c>
      <c r="B1113" t="s">
        <v>4</v>
      </c>
      <c r="C1113" t="s">
        <v>193</v>
      </c>
      <c r="D1113" t="s">
        <v>192</v>
      </c>
      <c r="E1113">
        <v>86</v>
      </c>
      <c r="F1113">
        <v>0</v>
      </c>
      <c r="G1113" s="1">
        <v>9500</v>
      </c>
      <c r="H1113" s="1">
        <v>9351</v>
      </c>
      <c r="I1113" s="1">
        <v>12805</v>
      </c>
      <c r="J1113" s="1">
        <v>1369</v>
      </c>
    </row>
    <row r="1114" spans="1:10" x14ac:dyDescent="0.3">
      <c r="A1114" t="s">
        <v>199</v>
      </c>
      <c r="B1114" t="s">
        <v>3</v>
      </c>
      <c r="C1114" t="s">
        <v>193</v>
      </c>
      <c r="D1114" t="s">
        <v>62</v>
      </c>
      <c r="E1114">
        <v>86</v>
      </c>
      <c r="F1114">
        <v>14</v>
      </c>
      <c r="G1114" s="1">
        <v>2550</v>
      </c>
      <c r="H1114" s="1">
        <v>2050</v>
      </c>
      <c r="I1114" s="1">
        <v>1497</v>
      </c>
      <c r="J1114" s="1">
        <v>730</v>
      </c>
    </row>
    <row r="1115" spans="1:10" x14ac:dyDescent="0.3">
      <c r="A1115" t="s">
        <v>199</v>
      </c>
      <c r="B1115" t="s">
        <v>3</v>
      </c>
      <c r="C1115" t="s">
        <v>193</v>
      </c>
      <c r="D1115" t="s">
        <v>44</v>
      </c>
      <c r="E1115">
        <v>86</v>
      </c>
      <c r="F1115">
        <v>35</v>
      </c>
      <c r="G1115" s="1">
        <v>1700</v>
      </c>
      <c r="H1115" s="1">
        <v>1620</v>
      </c>
      <c r="I1115" s="1">
        <v>2754</v>
      </c>
      <c r="J1115" s="1">
        <v>1700</v>
      </c>
    </row>
    <row r="1116" spans="1:10" x14ac:dyDescent="0.3">
      <c r="A1116" t="s">
        <v>199</v>
      </c>
      <c r="B1116" t="s">
        <v>3</v>
      </c>
      <c r="C1116" t="s">
        <v>193</v>
      </c>
      <c r="D1116" t="s">
        <v>41</v>
      </c>
      <c r="E1116">
        <v>86</v>
      </c>
      <c r="F1116">
        <v>49</v>
      </c>
      <c r="G1116" s="1">
        <v>2800</v>
      </c>
      <c r="H1116" s="1">
        <v>2690</v>
      </c>
      <c r="I1116" s="1">
        <v>5111</v>
      </c>
      <c r="J1116" s="1">
        <v>1900</v>
      </c>
    </row>
    <row r="1117" spans="1:10" x14ac:dyDescent="0.3">
      <c r="A1117" t="s">
        <v>199</v>
      </c>
      <c r="B1117" t="s">
        <v>3</v>
      </c>
      <c r="C1117" t="s">
        <v>193</v>
      </c>
      <c r="D1117" t="s">
        <v>48</v>
      </c>
      <c r="E1117">
        <v>86</v>
      </c>
      <c r="F1117">
        <v>63</v>
      </c>
      <c r="G1117" s="1">
        <v>7500</v>
      </c>
      <c r="H1117" s="1">
        <v>7380</v>
      </c>
      <c r="I1117" s="1">
        <v>14022</v>
      </c>
      <c r="J1117" s="1">
        <v>1900</v>
      </c>
    </row>
    <row r="1118" spans="1:10" x14ac:dyDescent="0.3">
      <c r="A1118" t="s">
        <v>199</v>
      </c>
      <c r="B1118" t="s">
        <v>3</v>
      </c>
      <c r="C1118" t="s">
        <v>193</v>
      </c>
      <c r="D1118" t="s">
        <v>38</v>
      </c>
      <c r="E1118">
        <v>86</v>
      </c>
      <c r="F1118">
        <v>70</v>
      </c>
      <c r="G1118" s="1">
        <v>1800</v>
      </c>
      <c r="H1118" s="1">
        <v>1680</v>
      </c>
      <c r="I1118" s="1">
        <v>2856</v>
      </c>
      <c r="J1118" s="1">
        <v>1700</v>
      </c>
    </row>
    <row r="1119" spans="1:10" x14ac:dyDescent="0.3">
      <c r="A1119" t="s">
        <v>199</v>
      </c>
      <c r="B1119" t="s">
        <v>3</v>
      </c>
      <c r="C1119" t="s">
        <v>193</v>
      </c>
      <c r="D1119" t="s">
        <v>75</v>
      </c>
      <c r="E1119">
        <v>86</v>
      </c>
      <c r="F1119">
        <v>77</v>
      </c>
      <c r="G1119" s="1">
        <v>2000</v>
      </c>
      <c r="H1119" s="1">
        <v>1800</v>
      </c>
      <c r="I1119" s="1">
        <v>2340</v>
      </c>
      <c r="J1119" s="1">
        <v>1300</v>
      </c>
    </row>
    <row r="1120" spans="1:10" x14ac:dyDescent="0.3">
      <c r="A1120" t="s">
        <v>199</v>
      </c>
      <c r="B1120" t="s">
        <v>3</v>
      </c>
      <c r="C1120" t="s">
        <v>193</v>
      </c>
      <c r="D1120" t="s">
        <v>54</v>
      </c>
      <c r="E1120">
        <v>86</v>
      </c>
      <c r="F1120">
        <v>84</v>
      </c>
      <c r="G1120" s="1">
        <v>8800</v>
      </c>
      <c r="H1120" s="1">
        <v>8650</v>
      </c>
      <c r="I1120" s="1">
        <v>16003</v>
      </c>
      <c r="J1120" s="1">
        <v>1850</v>
      </c>
    </row>
    <row r="1121" spans="1:10" x14ac:dyDescent="0.3">
      <c r="A1121" t="s">
        <v>199</v>
      </c>
      <c r="B1121" t="s">
        <v>3</v>
      </c>
      <c r="C1121" t="s">
        <v>193</v>
      </c>
      <c r="D1121" t="s">
        <v>70</v>
      </c>
      <c r="E1121">
        <v>86</v>
      </c>
      <c r="F1121">
        <v>91</v>
      </c>
      <c r="G1121" s="1">
        <v>25000</v>
      </c>
      <c r="H1121" s="1">
        <v>24850</v>
      </c>
      <c r="I1121" s="1">
        <v>45973</v>
      </c>
      <c r="J1121" s="1">
        <v>1850</v>
      </c>
    </row>
    <row r="1122" spans="1:10" x14ac:dyDescent="0.3">
      <c r="A1122" t="s">
        <v>199</v>
      </c>
      <c r="B1122" t="s">
        <v>3</v>
      </c>
      <c r="C1122" t="s">
        <v>193</v>
      </c>
      <c r="D1122" t="s">
        <v>69</v>
      </c>
      <c r="E1122">
        <v>86</v>
      </c>
      <c r="F1122">
        <v>98</v>
      </c>
      <c r="G1122" s="1">
        <v>1800</v>
      </c>
      <c r="H1122" s="1">
        <v>1400</v>
      </c>
      <c r="I1122" s="1">
        <v>1680</v>
      </c>
      <c r="J1122" s="1">
        <v>1200</v>
      </c>
    </row>
    <row r="1123" spans="1:10" x14ac:dyDescent="0.3">
      <c r="A1123" t="s">
        <v>199</v>
      </c>
      <c r="B1123" t="s">
        <v>3</v>
      </c>
      <c r="C1123" t="s">
        <v>193</v>
      </c>
      <c r="D1123" t="s">
        <v>72</v>
      </c>
      <c r="E1123">
        <v>86</v>
      </c>
      <c r="F1123">
        <v>119</v>
      </c>
      <c r="G1123" s="1">
        <v>5660</v>
      </c>
      <c r="H1123" s="1">
        <v>4910</v>
      </c>
      <c r="I1123" s="1">
        <v>3633</v>
      </c>
      <c r="J1123" s="1">
        <v>740</v>
      </c>
    </row>
    <row r="1124" spans="1:10" x14ac:dyDescent="0.3">
      <c r="A1124" t="s">
        <v>199</v>
      </c>
      <c r="B1124" t="s">
        <v>3</v>
      </c>
      <c r="C1124" t="s">
        <v>193</v>
      </c>
      <c r="D1124" t="s">
        <v>46</v>
      </c>
      <c r="E1124">
        <v>86</v>
      </c>
      <c r="F1124">
        <v>126</v>
      </c>
      <c r="G1124" s="1">
        <v>14500</v>
      </c>
      <c r="H1124" s="1">
        <v>14350</v>
      </c>
      <c r="I1124" s="1">
        <v>24395</v>
      </c>
      <c r="J1124" s="1">
        <v>1700</v>
      </c>
    </row>
    <row r="1125" spans="1:10" x14ac:dyDescent="0.3">
      <c r="A1125" t="s">
        <v>199</v>
      </c>
      <c r="B1125" t="s">
        <v>3</v>
      </c>
      <c r="C1125" t="s">
        <v>193</v>
      </c>
      <c r="D1125" t="s">
        <v>68</v>
      </c>
      <c r="E1125">
        <v>86</v>
      </c>
      <c r="F1125">
        <v>133</v>
      </c>
      <c r="G1125" s="1">
        <v>18800</v>
      </c>
      <c r="H1125" s="1">
        <v>18618</v>
      </c>
      <c r="I1125" s="1">
        <v>34443</v>
      </c>
      <c r="J1125" s="1">
        <v>1850</v>
      </c>
    </row>
    <row r="1126" spans="1:10" x14ac:dyDescent="0.3">
      <c r="A1126" t="s">
        <v>199</v>
      </c>
      <c r="B1126" t="s">
        <v>3</v>
      </c>
      <c r="C1126" t="s">
        <v>193</v>
      </c>
      <c r="D1126" t="s">
        <v>29</v>
      </c>
      <c r="E1126">
        <v>86</v>
      </c>
      <c r="F1126">
        <v>140</v>
      </c>
      <c r="G1126" s="1">
        <v>2800</v>
      </c>
      <c r="H1126" s="1">
        <v>2670</v>
      </c>
      <c r="I1126" s="1">
        <v>4539</v>
      </c>
      <c r="J1126" s="1">
        <v>1700</v>
      </c>
    </row>
    <row r="1127" spans="1:10" x14ac:dyDescent="0.3">
      <c r="A1127" t="s">
        <v>199</v>
      </c>
      <c r="B1127" t="s">
        <v>3</v>
      </c>
      <c r="C1127" t="s">
        <v>193</v>
      </c>
      <c r="D1127" t="s">
        <v>65</v>
      </c>
      <c r="E1127">
        <v>86</v>
      </c>
      <c r="F1127">
        <v>147</v>
      </c>
      <c r="G1127" s="1">
        <v>12500</v>
      </c>
      <c r="H1127" s="1">
        <v>12415</v>
      </c>
      <c r="I1127" s="1">
        <v>21106</v>
      </c>
      <c r="J1127" s="1">
        <v>1700</v>
      </c>
    </row>
    <row r="1128" spans="1:10" x14ac:dyDescent="0.3">
      <c r="A1128" t="s">
        <v>199</v>
      </c>
      <c r="B1128" t="s">
        <v>3</v>
      </c>
      <c r="C1128" t="s">
        <v>193</v>
      </c>
      <c r="D1128" t="s">
        <v>33</v>
      </c>
      <c r="E1128">
        <v>86</v>
      </c>
      <c r="F1128">
        <v>189</v>
      </c>
      <c r="G1128" s="1">
        <v>150</v>
      </c>
      <c r="H1128" s="1">
        <v>130</v>
      </c>
      <c r="I1128" s="1">
        <v>234</v>
      </c>
      <c r="J1128" s="1">
        <v>1800</v>
      </c>
    </row>
    <row r="1129" spans="1:10" x14ac:dyDescent="0.3">
      <c r="A1129" t="s">
        <v>198</v>
      </c>
      <c r="B1129" t="s">
        <v>3</v>
      </c>
      <c r="C1129" t="s">
        <v>193</v>
      </c>
      <c r="D1129" t="s">
        <v>41</v>
      </c>
      <c r="E1129">
        <v>86</v>
      </c>
      <c r="F1129">
        <v>49</v>
      </c>
      <c r="G1129" s="1">
        <v>500</v>
      </c>
      <c r="H1129" s="1">
        <v>475</v>
      </c>
      <c r="I1129" s="1">
        <v>855</v>
      </c>
      <c r="J1129" s="1">
        <v>1800</v>
      </c>
    </row>
    <row r="1130" spans="1:10" x14ac:dyDescent="0.3">
      <c r="A1130" t="s">
        <v>198</v>
      </c>
      <c r="B1130" t="s">
        <v>3</v>
      </c>
      <c r="C1130" t="s">
        <v>193</v>
      </c>
      <c r="D1130" t="s">
        <v>48</v>
      </c>
      <c r="E1130">
        <v>86</v>
      </c>
      <c r="F1130">
        <v>63</v>
      </c>
      <c r="G1130" s="1">
        <v>850</v>
      </c>
      <c r="H1130" s="1">
        <v>815</v>
      </c>
      <c r="I1130" s="1">
        <v>1549</v>
      </c>
      <c r="J1130" s="1">
        <v>1900</v>
      </c>
    </row>
    <row r="1131" spans="1:10" x14ac:dyDescent="0.3">
      <c r="A1131" t="s">
        <v>198</v>
      </c>
      <c r="B1131" t="s">
        <v>3</v>
      </c>
      <c r="C1131" t="s">
        <v>193</v>
      </c>
      <c r="D1131" t="s">
        <v>38</v>
      </c>
      <c r="E1131">
        <v>86</v>
      </c>
      <c r="F1131">
        <v>70</v>
      </c>
      <c r="G1131" s="1">
        <v>1850</v>
      </c>
      <c r="H1131" s="1">
        <v>1800</v>
      </c>
      <c r="I1131" s="1">
        <v>3420</v>
      </c>
      <c r="J1131" s="1">
        <v>1900</v>
      </c>
    </row>
    <row r="1132" spans="1:10" x14ac:dyDescent="0.3">
      <c r="A1132" t="s">
        <v>198</v>
      </c>
      <c r="B1132" t="s">
        <v>3</v>
      </c>
      <c r="C1132" t="s">
        <v>193</v>
      </c>
      <c r="D1132" t="s">
        <v>54</v>
      </c>
      <c r="E1132">
        <v>86</v>
      </c>
      <c r="F1132">
        <v>84</v>
      </c>
      <c r="G1132" s="1">
        <v>1500</v>
      </c>
      <c r="H1132" s="1">
        <v>1446</v>
      </c>
      <c r="I1132" s="1">
        <v>2603</v>
      </c>
      <c r="J1132" s="1">
        <v>1800</v>
      </c>
    </row>
    <row r="1133" spans="1:10" x14ac:dyDescent="0.3">
      <c r="A1133" t="s">
        <v>198</v>
      </c>
      <c r="B1133" t="s">
        <v>3</v>
      </c>
      <c r="C1133" t="s">
        <v>193</v>
      </c>
      <c r="D1133" t="s">
        <v>70</v>
      </c>
      <c r="E1133">
        <v>86</v>
      </c>
      <c r="F1133">
        <v>91</v>
      </c>
      <c r="G1133" s="1">
        <v>1625</v>
      </c>
      <c r="H1133" s="1">
        <v>1600</v>
      </c>
      <c r="I1133" s="1">
        <v>2720</v>
      </c>
      <c r="J1133" s="1">
        <v>1700</v>
      </c>
    </row>
    <row r="1134" spans="1:10" x14ac:dyDescent="0.3">
      <c r="A1134" t="s">
        <v>198</v>
      </c>
      <c r="B1134" t="s">
        <v>3</v>
      </c>
      <c r="C1134" t="s">
        <v>193</v>
      </c>
      <c r="D1134" t="s">
        <v>46</v>
      </c>
      <c r="E1134">
        <v>86</v>
      </c>
      <c r="F1134">
        <v>126</v>
      </c>
      <c r="G1134" s="1">
        <v>650</v>
      </c>
      <c r="H1134" s="1">
        <v>615</v>
      </c>
      <c r="I1134" s="1">
        <v>1107</v>
      </c>
      <c r="J1134" s="1">
        <v>1800</v>
      </c>
    </row>
    <row r="1135" spans="1:10" x14ac:dyDescent="0.3">
      <c r="A1135" t="s">
        <v>198</v>
      </c>
      <c r="B1135" t="s">
        <v>3</v>
      </c>
      <c r="C1135" t="s">
        <v>193</v>
      </c>
      <c r="D1135" t="s">
        <v>68</v>
      </c>
      <c r="E1135">
        <v>86</v>
      </c>
      <c r="F1135">
        <v>133</v>
      </c>
      <c r="G1135" s="1">
        <v>875</v>
      </c>
      <c r="H1135" s="1">
        <v>850</v>
      </c>
      <c r="I1135" s="1">
        <v>1105</v>
      </c>
      <c r="J1135" s="1">
        <v>1300</v>
      </c>
    </row>
    <row r="1136" spans="1:10" x14ac:dyDescent="0.3">
      <c r="A1136" t="s">
        <v>200</v>
      </c>
      <c r="B1136" t="s">
        <v>3</v>
      </c>
      <c r="C1136" t="s">
        <v>193</v>
      </c>
      <c r="D1136" t="s">
        <v>62</v>
      </c>
      <c r="E1136">
        <v>86</v>
      </c>
      <c r="F1136">
        <v>14</v>
      </c>
      <c r="G1136" s="1">
        <v>2550</v>
      </c>
      <c r="H1136" s="1">
        <v>2050</v>
      </c>
      <c r="I1136" s="1">
        <v>1497</v>
      </c>
      <c r="J1136" s="1">
        <v>730</v>
      </c>
    </row>
    <row r="1137" spans="1:10" x14ac:dyDescent="0.3">
      <c r="A1137" t="s">
        <v>200</v>
      </c>
      <c r="B1137" t="s">
        <v>3</v>
      </c>
      <c r="C1137" t="s">
        <v>193</v>
      </c>
      <c r="D1137" t="s">
        <v>44</v>
      </c>
      <c r="E1137">
        <v>86</v>
      </c>
      <c r="F1137">
        <v>35</v>
      </c>
      <c r="G1137" s="1">
        <v>1700</v>
      </c>
      <c r="H1137" s="1">
        <v>1620</v>
      </c>
      <c r="I1137" s="1">
        <v>2754</v>
      </c>
      <c r="J1137" s="1">
        <v>1700</v>
      </c>
    </row>
    <row r="1138" spans="1:10" x14ac:dyDescent="0.3">
      <c r="A1138" t="s">
        <v>200</v>
      </c>
      <c r="B1138" t="s">
        <v>3</v>
      </c>
      <c r="C1138" t="s">
        <v>193</v>
      </c>
      <c r="D1138" t="s">
        <v>41</v>
      </c>
      <c r="E1138">
        <v>86</v>
      </c>
      <c r="F1138">
        <v>49</v>
      </c>
      <c r="G1138" s="1">
        <v>3300</v>
      </c>
      <c r="H1138" s="1">
        <v>3165</v>
      </c>
      <c r="I1138" s="1">
        <v>5966</v>
      </c>
      <c r="J1138" s="1">
        <v>1885</v>
      </c>
    </row>
    <row r="1139" spans="1:10" x14ac:dyDescent="0.3">
      <c r="A1139" t="s">
        <v>200</v>
      </c>
      <c r="B1139" t="s">
        <v>3</v>
      </c>
      <c r="C1139" t="s">
        <v>193</v>
      </c>
      <c r="D1139" t="s">
        <v>48</v>
      </c>
      <c r="E1139">
        <v>86</v>
      </c>
      <c r="F1139">
        <v>63</v>
      </c>
      <c r="G1139" s="1">
        <v>8350</v>
      </c>
      <c r="H1139" s="1">
        <v>8195</v>
      </c>
      <c r="I1139" s="1">
        <v>15571</v>
      </c>
      <c r="J1139" s="1">
        <v>1900</v>
      </c>
    </row>
    <row r="1140" spans="1:10" x14ac:dyDescent="0.3">
      <c r="A1140" t="s">
        <v>200</v>
      </c>
      <c r="B1140" t="s">
        <v>3</v>
      </c>
      <c r="C1140" t="s">
        <v>193</v>
      </c>
      <c r="D1140" t="s">
        <v>38</v>
      </c>
      <c r="E1140">
        <v>86</v>
      </c>
      <c r="F1140">
        <v>70</v>
      </c>
      <c r="G1140" s="1">
        <v>3650</v>
      </c>
      <c r="H1140" s="1">
        <v>3480</v>
      </c>
      <c r="I1140" s="1">
        <v>6276</v>
      </c>
      <c r="J1140" s="1">
        <v>1803</v>
      </c>
    </row>
    <row r="1141" spans="1:10" x14ac:dyDescent="0.3">
      <c r="A1141" t="s">
        <v>200</v>
      </c>
      <c r="B1141" t="s">
        <v>3</v>
      </c>
      <c r="C1141" t="s">
        <v>193</v>
      </c>
      <c r="D1141" t="s">
        <v>75</v>
      </c>
      <c r="E1141">
        <v>86</v>
      </c>
      <c r="F1141">
        <v>77</v>
      </c>
      <c r="G1141" s="1">
        <v>2000</v>
      </c>
      <c r="H1141" s="1">
        <v>1800</v>
      </c>
      <c r="I1141" s="1">
        <v>2340</v>
      </c>
      <c r="J1141" s="1">
        <v>1300</v>
      </c>
    </row>
    <row r="1142" spans="1:10" x14ac:dyDescent="0.3">
      <c r="A1142" t="s">
        <v>200</v>
      </c>
      <c r="B1142" t="s">
        <v>3</v>
      </c>
      <c r="C1142" t="s">
        <v>193</v>
      </c>
      <c r="D1142" t="s">
        <v>54</v>
      </c>
      <c r="E1142">
        <v>86</v>
      </c>
      <c r="F1142">
        <v>84</v>
      </c>
      <c r="G1142" s="1">
        <v>10300</v>
      </c>
      <c r="H1142" s="1">
        <v>10096</v>
      </c>
      <c r="I1142" s="1">
        <v>18605</v>
      </c>
      <c r="J1142" s="1">
        <v>1843</v>
      </c>
    </row>
    <row r="1143" spans="1:10" x14ac:dyDescent="0.3">
      <c r="A1143" t="s">
        <v>200</v>
      </c>
      <c r="B1143" t="s">
        <v>3</v>
      </c>
      <c r="C1143" t="s">
        <v>193</v>
      </c>
      <c r="D1143" t="s">
        <v>70</v>
      </c>
      <c r="E1143">
        <v>86</v>
      </c>
      <c r="F1143">
        <v>91</v>
      </c>
      <c r="G1143" s="1">
        <v>26625</v>
      </c>
      <c r="H1143" s="1">
        <v>26450</v>
      </c>
      <c r="I1143" s="1">
        <v>48693</v>
      </c>
      <c r="J1143" s="1">
        <v>1841</v>
      </c>
    </row>
    <row r="1144" spans="1:10" x14ac:dyDescent="0.3">
      <c r="A1144" t="s">
        <v>200</v>
      </c>
      <c r="B1144" t="s">
        <v>3</v>
      </c>
      <c r="C1144" t="s">
        <v>193</v>
      </c>
      <c r="D1144" t="s">
        <v>69</v>
      </c>
      <c r="E1144">
        <v>86</v>
      </c>
      <c r="F1144">
        <v>98</v>
      </c>
      <c r="G1144" s="1">
        <v>1800</v>
      </c>
      <c r="H1144" s="1">
        <v>1400</v>
      </c>
      <c r="I1144" s="1">
        <v>1680</v>
      </c>
      <c r="J1144" s="1">
        <v>1200</v>
      </c>
    </row>
    <row r="1145" spans="1:10" x14ac:dyDescent="0.3">
      <c r="A1145" t="s">
        <v>197</v>
      </c>
      <c r="B1145" t="s">
        <v>18</v>
      </c>
      <c r="C1145" t="s">
        <v>193</v>
      </c>
      <c r="D1145" t="s">
        <v>64</v>
      </c>
      <c r="E1145">
        <v>86</v>
      </c>
      <c r="F1145">
        <v>7</v>
      </c>
      <c r="G1145" s="1">
        <v>46500</v>
      </c>
      <c r="H1145" s="1">
        <v>37500</v>
      </c>
      <c r="I1145" s="1">
        <v>86250</v>
      </c>
      <c r="J1145" s="1">
        <v>2300</v>
      </c>
    </row>
    <row r="1146" spans="1:10" x14ac:dyDescent="0.3">
      <c r="A1146" t="s">
        <v>197</v>
      </c>
      <c r="B1146" t="s">
        <v>17</v>
      </c>
      <c r="C1146" t="s">
        <v>193</v>
      </c>
      <c r="D1146" t="s">
        <v>64</v>
      </c>
      <c r="E1146">
        <v>86</v>
      </c>
      <c r="F1146">
        <v>7</v>
      </c>
      <c r="G1146" s="1">
        <v>52720</v>
      </c>
      <c r="H1146" s="1">
        <v>52720</v>
      </c>
      <c r="I1146" s="1">
        <v>126528</v>
      </c>
      <c r="J1146" s="1">
        <v>2400</v>
      </c>
    </row>
    <row r="1147" spans="1:10" x14ac:dyDescent="0.3">
      <c r="A1147" t="s">
        <v>197</v>
      </c>
      <c r="B1147" t="s">
        <v>14</v>
      </c>
      <c r="C1147" t="s">
        <v>193</v>
      </c>
      <c r="D1147" t="s">
        <v>64</v>
      </c>
      <c r="E1147">
        <v>86</v>
      </c>
      <c r="F1147">
        <v>7</v>
      </c>
      <c r="G1147" s="1">
        <v>4240</v>
      </c>
      <c r="H1147" s="1">
        <v>4240</v>
      </c>
      <c r="I1147" s="1">
        <v>15264</v>
      </c>
      <c r="J1147" s="1">
        <v>3600</v>
      </c>
    </row>
    <row r="1148" spans="1:10" x14ac:dyDescent="0.3">
      <c r="A1148" t="s">
        <v>197</v>
      </c>
      <c r="B1148" t="s">
        <v>12</v>
      </c>
      <c r="C1148" t="s">
        <v>193</v>
      </c>
      <c r="D1148" t="s">
        <v>64</v>
      </c>
      <c r="E1148">
        <v>86</v>
      </c>
      <c r="F1148">
        <v>7</v>
      </c>
      <c r="G1148" s="1">
        <v>4122</v>
      </c>
      <c r="H1148" s="1">
        <v>4122</v>
      </c>
      <c r="I1148" s="1">
        <v>6595</v>
      </c>
      <c r="J1148" s="1">
        <v>1600</v>
      </c>
    </row>
    <row r="1149" spans="1:10" x14ac:dyDescent="0.3">
      <c r="A1149" t="s">
        <v>197</v>
      </c>
      <c r="B1149" t="s">
        <v>9</v>
      </c>
      <c r="C1149" t="s">
        <v>193</v>
      </c>
      <c r="D1149" t="s">
        <v>64</v>
      </c>
      <c r="E1149">
        <v>86</v>
      </c>
      <c r="F1149">
        <v>7</v>
      </c>
      <c r="G1149" s="1">
        <v>12107</v>
      </c>
      <c r="H1149" s="1">
        <v>10767</v>
      </c>
      <c r="I1149" s="1">
        <v>34131</v>
      </c>
      <c r="J1149" s="1">
        <v>3170</v>
      </c>
    </row>
    <row r="1150" spans="1:10" x14ac:dyDescent="0.3">
      <c r="A1150" t="s">
        <v>197</v>
      </c>
      <c r="B1150" t="s">
        <v>8</v>
      </c>
      <c r="C1150" t="s">
        <v>193</v>
      </c>
      <c r="D1150" t="s">
        <v>64</v>
      </c>
      <c r="E1150">
        <v>86</v>
      </c>
      <c r="F1150">
        <v>7</v>
      </c>
      <c r="G1150" s="1">
        <v>16500</v>
      </c>
      <c r="H1150" s="1">
        <v>16380</v>
      </c>
      <c r="I1150" s="1">
        <v>55692</v>
      </c>
      <c r="J1150" s="1">
        <v>3400</v>
      </c>
    </row>
    <row r="1151" spans="1:10" x14ac:dyDescent="0.3">
      <c r="A1151" t="s">
        <v>197</v>
      </c>
      <c r="B1151" t="s">
        <v>7</v>
      </c>
      <c r="C1151" t="s">
        <v>193</v>
      </c>
      <c r="D1151" t="s">
        <v>64</v>
      </c>
      <c r="E1151">
        <v>86</v>
      </c>
      <c r="F1151">
        <v>7</v>
      </c>
      <c r="G1151" s="1">
        <v>16500</v>
      </c>
      <c r="H1151" s="1">
        <v>16500</v>
      </c>
      <c r="I1151" s="1">
        <v>49500</v>
      </c>
      <c r="J1151" s="1">
        <v>3000</v>
      </c>
    </row>
    <row r="1152" spans="1:10" x14ac:dyDescent="0.3">
      <c r="A1152" t="s">
        <v>197</v>
      </c>
      <c r="B1152" t="s">
        <v>6</v>
      </c>
      <c r="C1152" t="s">
        <v>193</v>
      </c>
      <c r="D1152" t="s">
        <v>64</v>
      </c>
      <c r="E1152">
        <v>86</v>
      </c>
      <c r="F1152">
        <v>7</v>
      </c>
      <c r="G1152" s="1">
        <v>16500</v>
      </c>
      <c r="H1152" s="1">
        <v>16500</v>
      </c>
      <c r="I1152" s="1">
        <v>46200</v>
      </c>
      <c r="J1152" s="1">
        <v>2800</v>
      </c>
    </row>
    <row r="1153" spans="1:10" x14ac:dyDescent="0.3">
      <c r="A1153" t="s">
        <v>197</v>
      </c>
      <c r="B1153" t="s">
        <v>5</v>
      </c>
      <c r="C1153" t="s">
        <v>193</v>
      </c>
      <c r="D1153" t="s">
        <v>64</v>
      </c>
      <c r="E1153">
        <v>86</v>
      </c>
      <c r="F1153">
        <v>7</v>
      </c>
      <c r="G1153" s="1">
        <v>19700</v>
      </c>
      <c r="H1153" s="1">
        <v>19700</v>
      </c>
      <c r="I1153" s="1">
        <v>51220</v>
      </c>
      <c r="J1153" s="1">
        <v>2600</v>
      </c>
    </row>
    <row r="1154" spans="1:10" x14ac:dyDescent="0.3">
      <c r="A1154" t="s">
        <v>197</v>
      </c>
      <c r="B1154" t="s">
        <v>4</v>
      </c>
      <c r="C1154" t="s">
        <v>193</v>
      </c>
      <c r="D1154" t="s">
        <v>64</v>
      </c>
      <c r="E1154">
        <v>86</v>
      </c>
      <c r="F1154">
        <v>7</v>
      </c>
      <c r="G1154" s="1">
        <v>19000</v>
      </c>
      <c r="H1154" s="1">
        <v>18550</v>
      </c>
      <c r="I1154" s="1">
        <v>44520</v>
      </c>
      <c r="J1154" s="1">
        <v>2400</v>
      </c>
    </row>
    <row r="1155" spans="1:10" x14ac:dyDescent="0.3">
      <c r="A1155" t="s">
        <v>197</v>
      </c>
      <c r="B1155" t="s">
        <v>3</v>
      </c>
      <c r="C1155" t="s">
        <v>193</v>
      </c>
      <c r="D1155" t="s">
        <v>64</v>
      </c>
      <c r="E1155">
        <v>86</v>
      </c>
      <c r="F1155">
        <v>7</v>
      </c>
      <c r="G1155" s="1">
        <v>26100</v>
      </c>
      <c r="H1155" s="1">
        <v>25140</v>
      </c>
      <c r="I1155" s="1">
        <v>60336</v>
      </c>
      <c r="J1155" s="1">
        <v>2400</v>
      </c>
    </row>
    <row r="1156" spans="1:10" x14ac:dyDescent="0.3">
      <c r="A1156" t="s">
        <v>197</v>
      </c>
      <c r="B1156" t="s">
        <v>18</v>
      </c>
      <c r="C1156" t="s">
        <v>193</v>
      </c>
      <c r="D1156" t="s">
        <v>62</v>
      </c>
      <c r="E1156">
        <v>86</v>
      </c>
      <c r="F1156">
        <v>14</v>
      </c>
      <c r="G1156" s="1">
        <v>87400</v>
      </c>
      <c r="H1156" s="1">
        <v>86480</v>
      </c>
      <c r="I1156" s="1">
        <v>224848</v>
      </c>
      <c r="J1156" s="1">
        <v>2600</v>
      </c>
    </row>
    <row r="1157" spans="1:10" x14ac:dyDescent="0.3">
      <c r="A1157" t="s">
        <v>197</v>
      </c>
      <c r="B1157" t="s">
        <v>17</v>
      </c>
      <c r="C1157" t="s">
        <v>193</v>
      </c>
      <c r="D1157" t="s">
        <v>62</v>
      </c>
      <c r="E1157">
        <v>86</v>
      </c>
      <c r="F1157">
        <v>14</v>
      </c>
      <c r="G1157" s="1">
        <v>103014</v>
      </c>
      <c r="H1157" s="1">
        <v>103014</v>
      </c>
      <c r="I1157" s="1">
        <v>298739</v>
      </c>
      <c r="J1157" s="1">
        <v>2900</v>
      </c>
    </row>
    <row r="1158" spans="1:10" x14ac:dyDescent="0.3">
      <c r="A1158" t="s">
        <v>197</v>
      </c>
      <c r="B1158" t="s">
        <v>14</v>
      </c>
      <c r="C1158" t="s">
        <v>193</v>
      </c>
      <c r="D1158" t="s">
        <v>62</v>
      </c>
      <c r="E1158">
        <v>86</v>
      </c>
      <c r="F1158">
        <v>14</v>
      </c>
      <c r="G1158" s="1">
        <v>59720</v>
      </c>
      <c r="H1158" s="1">
        <v>59720</v>
      </c>
      <c r="I1158" s="1">
        <v>232908</v>
      </c>
      <c r="J1158" s="1">
        <v>3900</v>
      </c>
    </row>
    <row r="1159" spans="1:10" x14ac:dyDescent="0.3">
      <c r="A1159" t="s">
        <v>197</v>
      </c>
      <c r="B1159" t="s">
        <v>12</v>
      </c>
      <c r="C1159" t="s">
        <v>193</v>
      </c>
      <c r="D1159" t="s">
        <v>62</v>
      </c>
      <c r="E1159">
        <v>86</v>
      </c>
      <c r="F1159">
        <v>14</v>
      </c>
      <c r="G1159" s="1">
        <v>49003</v>
      </c>
      <c r="H1159" s="1">
        <v>49003</v>
      </c>
      <c r="I1159" s="1">
        <v>161708</v>
      </c>
      <c r="J1159" s="1">
        <v>3300</v>
      </c>
    </row>
    <row r="1160" spans="1:10" x14ac:dyDescent="0.3">
      <c r="A1160" t="s">
        <v>197</v>
      </c>
      <c r="B1160" t="s">
        <v>9</v>
      </c>
      <c r="C1160" t="s">
        <v>193</v>
      </c>
      <c r="D1160" t="s">
        <v>62</v>
      </c>
      <c r="E1160">
        <v>86</v>
      </c>
      <c r="F1160">
        <v>14</v>
      </c>
      <c r="G1160" s="1">
        <v>80000</v>
      </c>
      <c r="H1160" s="1">
        <v>76600</v>
      </c>
      <c r="I1160" s="1">
        <v>251248</v>
      </c>
      <c r="J1160" s="1">
        <v>3280</v>
      </c>
    </row>
    <row r="1161" spans="1:10" x14ac:dyDescent="0.3">
      <c r="A1161" t="s">
        <v>197</v>
      </c>
      <c r="B1161" t="s">
        <v>8</v>
      </c>
      <c r="C1161" t="s">
        <v>193</v>
      </c>
      <c r="D1161" t="s">
        <v>62</v>
      </c>
      <c r="E1161">
        <v>86</v>
      </c>
      <c r="F1161">
        <v>14</v>
      </c>
      <c r="G1161" s="1">
        <v>79200</v>
      </c>
      <c r="H1161" s="1">
        <v>78990</v>
      </c>
      <c r="I1161" s="1">
        <v>284364</v>
      </c>
      <c r="J1161" s="1">
        <v>3600</v>
      </c>
    </row>
    <row r="1162" spans="1:10" x14ac:dyDescent="0.3">
      <c r="A1162" t="s">
        <v>197</v>
      </c>
      <c r="B1162" t="s">
        <v>7</v>
      </c>
      <c r="C1162" t="s">
        <v>193</v>
      </c>
      <c r="D1162" t="s">
        <v>62</v>
      </c>
      <c r="E1162">
        <v>86</v>
      </c>
      <c r="F1162">
        <v>14</v>
      </c>
      <c r="G1162" s="1">
        <v>96200</v>
      </c>
      <c r="H1162" s="1">
        <v>96200</v>
      </c>
      <c r="I1162" s="1">
        <v>298220</v>
      </c>
      <c r="J1162" s="1">
        <v>3100</v>
      </c>
    </row>
    <row r="1163" spans="1:10" x14ac:dyDescent="0.3">
      <c r="A1163" t="s">
        <v>197</v>
      </c>
      <c r="B1163" t="s">
        <v>6</v>
      </c>
      <c r="C1163" t="s">
        <v>193</v>
      </c>
      <c r="D1163" t="s">
        <v>62</v>
      </c>
      <c r="E1163">
        <v>86</v>
      </c>
      <c r="F1163">
        <v>14</v>
      </c>
      <c r="G1163" s="1">
        <v>96200</v>
      </c>
      <c r="H1163" s="1">
        <v>96200</v>
      </c>
      <c r="I1163" s="1">
        <v>317460</v>
      </c>
      <c r="J1163" s="1">
        <v>3300</v>
      </c>
    </row>
    <row r="1164" spans="1:10" x14ac:dyDescent="0.3">
      <c r="A1164" t="s">
        <v>197</v>
      </c>
      <c r="B1164" t="s">
        <v>5</v>
      </c>
      <c r="C1164" t="s">
        <v>193</v>
      </c>
      <c r="D1164" t="s">
        <v>62</v>
      </c>
      <c r="E1164">
        <v>86</v>
      </c>
      <c r="F1164">
        <v>14</v>
      </c>
      <c r="G1164" s="1">
        <v>104300</v>
      </c>
      <c r="H1164" s="1">
        <v>104300</v>
      </c>
      <c r="I1164" s="1">
        <v>286825</v>
      </c>
      <c r="J1164" s="1">
        <v>2750</v>
      </c>
    </row>
    <row r="1165" spans="1:10" x14ac:dyDescent="0.3">
      <c r="A1165" t="s">
        <v>197</v>
      </c>
      <c r="B1165" t="s">
        <v>4</v>
      </c>
      <c r="C1165" t="s">
        <v>193</v>
      </c>
      <c r="D1165" t="s">
        <v>62</v>
      </c>
      <c r="E1165">
        <v>86</v>
      </c>
      <c r="F1165">
        <v>14</v>
      </c>
      <c r="G1165" s="1">
        <v>105000</v>
      </c>
      <c r="H1165" s="1">
        <v>100280</v>
      </c>
      <c r="I1165" s="1">
        <v>180504</v>
      </c>
      <c r="J1165" s="1">
        <v>1800</v>
      </c>
    </row>
    <row r="1166" spans="1:10" x14ac:dyDescent="0.3">
      <c r="A1166" t="s">
        <v>197</v>
      </c>
      <c r="B1166" t="s">
        <v>3</v>
      </c>
      <c r="C1166" t="s">
        <v>193</v>
      </c>
      <c r="D1166" t="s">
        <v>62</v>
      </c>
      <c r="E1166">
        <v>86</v>
      </c>
      <c r="F1166">
        <v>14</v>
      </c>
      <c r="G1166" s="1">
        <v>130230</v>
      </c>
      <c r="H1166" s="1">
        <v>93766</v>
      </c>
      <c r="I1166" s="1">
        <v>65636</v>
      </c>
      <c r="J1166" s="1">
        <v>700</v>
      </c>
    </row>
    <row r="1167" spans="1:10" x14ac:dyDescent="0.3">
      <c r="A1167" t="s">
        <v>197</v>
      </c>
      <c r="B1167" t="s">
        <v>5</v>
      </c>
      <c r="C1167" t="s">
        <v>193</v>
      </c>
      <c r="D1167" t="s">
        <v>27</v>
      </c>
      <c r="E1167">
        <v>86</v>
      </c>
      <c r="F1167">
        <v>21</v>
      </c>
      <c r="G1167" s="1">
        <v>500</v>
      </c>
      <c r="H1167" s="1">
        <v>500</v>
      </c>
      <c r="I1167" s="1">
        <v>750</v>
      </c>
      <c r="J1167" s="1">
        <v>1500</v>
      </c>
    </row>
    <row r="1168" spans="1:10" x14ac:dyDescent="0.3">
      <c r="A1168" t="s">
        <v>197</v>
      </c>
      <c r="B1168" t="s">
        <v>4</v>
      </c>
      <c r="C1168" t="s">
        <v>193</v>
      </c>
      <c r="D1168" t="s">
        <v>27</v>
      </c>
      <c r="E1168">
        <v>86</v>
      </c>
      <c r="F1168">
        <v>21</v>
      </c>
      <c r="G1168" s="1">
        <v>500</v>
      </c>
      <c r="H1168" s="1">
        <v>500</v>
      </c>
      <c r="I1168" s="1">
        <v>1520</v>
      </c>
      <c r="J1168" s="1">
        <v>3040</v>
      </c>
    </row>
    <row r="1169" spans="1:10" x14ac:dyDescent="0.3">
      <c r="A1169" t="s">
        <v>197</v>
      </c>
      <c r="B1169" t="s">
        <v>3</v>
      </c>
      <c r="C1169" t="s">
        <v>193</v>
      </c>
      <c r="D1169" t="s">
        <v>27</v>
      </c>
      <c r="E1169">
        <v>86</v>
      </c>
      <c r="F1169">
        <v>21</v>
      </c>
      <c r="G1169" s="1">
        <v>575</v>
      </c>
      <c r="H1169" s="1">
        <v>540</v>
      </c>
      <c r="I1169" s="1">
        <v>1188</v>
      </c>
      <c r="J1169" s="1">
        <v>2200</v>
      </c>
    </row>
    <row r="1170" spans="1:10" x14ac:dyDescent="0.3">
      <c r="A1170" t="s">
        <v>197</v>
      </c>
      <c r="B1170" t="s">
        <v>18</v>
      </c>
      <c r="C1170" t="s">
        <v>193</v>
      </c>
      <c r="D1170" t="s">
        <v>37</v>
      </c>
      <c r="E1170">
        <v>86</v>
      </c>
      <c r="F1170">
        <v>28</v>
      </c>
      <c r="G1170" s="1">
        <v>3500</v>
      </c>
      <c r="H1170" s="1">
        <v>2500</v>
      </c>
      <c r="I1170" s="1">
        <v>5000</v>
      </c>
      <c r="J1170" s="1">
        <v>2000</v>
      </c>
    </row>
    <row r="1171" spans="1:10" x14ac:dyDescent="0.3">
      <c r="A1171" t="s">
        <v>197</v>
      </c>
      <c r="B1171" t="s">
        <v>17</v>
      </c>
      <c r="C1171" t="s">
        <v>193</v>
      </c>
      <c r="D1171" t="s">
        <v>37</v>
      </c>
      <c r="E1171">
        <v>86</v>
      </c>
      <c r="F1171">
        <v>28</v>
      </c>
      <c r="G1171" s="1">
        <v>3500</v>
      </c>
      <c r="H1171" s="1">
        <v>3500</v>
      </c>
      <c r="I1171" s="1">
        <v>7350</v>
      </c>
      <c r="J1171" s="1">
        <v>2100</v>
      </c>
    </row>
    <row r="1172" spans="1:10" x14ac:dyDescent="0.3">
      <c r="A1172" t="s">
        <v>197</v>
      </c>
      <c r="B1172" t="s">
        <v>14</v>
      </c>
      <c r="C1172" t="s">
        <v>193</v>
      </c>
      <c r="D1172" t="s">
        <v>37</v>
      </c>
      <c r="E1172">
        <v>86</v>
      </c>
      <c r="F1172">
        <v>28</v>
      </c>
      <c r="G1172" s="1">
        <v>3500</v>
      </c>
      <c r="H1172" s="1">
        <v>3380</v>
      </c>
      <c r="I1172" s="1">
        <v>11492</v>
      </c>
      <c r="J1172" s="1">
        <v>3400</v>
      </c>
    </row>
    <row r="1173" spans="1:10" x14ac:dyDescent="0.3">
      <c r="A1173" t="s">
        <v>197</v>
      </c>
      <c r="B1173" t="s">
        <v>12</v>
      </c>
      <c r="C1173" t="s">
        <v>193</v>
      </c>
      <c r="D1173" t="s">
        <v>37</v>
      </c>
      <c r="E1173">
        <v>86</v>
      </c>
      <c r="F1173">
        <v>28</v>
      </c>
      <c r="G1173" s="1">
        <v>50</v>
      </c>
      <c r="H1173" s="1">
        <v>50</v>
      </c>
      <c r="I1173" s="1">
        <v>140</v>
      </c>
      <c r="J1173" s="1">
        <v>2800</v>
      </c>
    </row>
    <row r="1174" spans="1:10" x14ac:dyDescent="0.3">
      <c r="A1174" t="s">
        <v>197</v>
      </c>
      <c r="B1174" t="s">
        <v>9</v>
      </c>
      <c r="C1174" t="s">
        <v>193</v>
      </c>
      <c r="D1174" t="s">
        <v>37</v>
      </c>
      <c r="E1174">
        <v>86</v>
      </c>
      <c r="F1174">
        <v>28</v>
      </c>
      <c r="G1174" s="1">
        <v>3500</v>
      </c>
      <c r="H1174" s="1">
        <v>3380</v>
      </c>
      <c r="I1174" s="1">
        <v>10478</v>
      </c>
      <c r="J1174" s="1">
        <v>3100</v>
      </c>
    </row>
    <row r="1175" spans="1:10" x14ac:dyDescent="0.3">
      <c r="A1175" t="s">
        <v>197</v>
      </c>
      <c r="B1175" t="s">
        <v>8</v>
      </c>
      <c r="C1175" t="s">
        <v>193</v>
      </c>
      <c r="D1175" t="s">
        <v>37</v>
      </c>
      <c r="E1175">
        <v>86</v>
      </c>
      <c r="F1175">
        <v>28</v>
      </c>
      <c r="G1175" s="1">
        <v>3600</v>
      </c>
      <c r="H1175" s="1">
        <v>3600</v>
      </c>
      <c r="I1175" s="1">
        <v>10800</v>
      </c>
      <c r="J1175" s="1">
        <v>3000</v>
      </c>
    </row>
    <row r="1176" spans="1:10" x14ac:dyDescent="0.3">
      <c r="A1176" t="s">
        <v>197</v>
      </c>
      <c r="B1176" t="s">
        <v>7</v>
      </c>
      <c r="C1176" t="s">
        <v>193</v>
      </c>
      <c r="D1176" t="s">
        <v>37</v>
      </c>
      <c r="E1176">
        <v>86</v>
      </c>
      <c r="F1176">
        <v>28</v>
      </c>
      <c r="G1176" s="1">
        <v>3600</v>
      </c>
      <c r="H1176" s="1">
        <v>3600</v>
      </c>
      <c r="I1176" s="1">
        <v>11520</v>
      </c>
      <c r="J1176" s="1">
        <v>3200</v>
      </c>
    </row>
    <row r="1177" spans="1:10" x14ac:dyDescent="0.3">
      <c r="A1177" t="s">
        <v>197</v>
      </c>
      <c r="B1177" t="s">
        <v>6</v>
      </c>
      <c r="C1177" t="s">
        <v>193</v>
      </c>
      <c r="D1177" t="s">
        <v>37</v>
      </c>
      <c r="E1177">
        <v>86</v>
      </c>
      <c r="F1177">
        <v>28</v>
      </c>
      <c r="G1177" s="1">
        <v>3600</v>
      </c>
      <c r="H1177" s="1">
        <v>3600</v>
      </c>
      <c r="I1177" s="1">
        <v>10440</v>
      </c>
      <c r="J1177" s="1">
        <v>2900</v>
      </c>
    </row>
    <row r="1178" spans="1:10" x14ac:dyDescent="0.3">
      <c r="A1178" t="s">
        <v>197</v>
      </c>
      <c r="B1178" t="s">
        <v>5</v>
      </c>
      <c r="C1178" t="s">
        <v>193</v>
      </c>
      <c r="D1178" t="s">
        <v>37</v>
      </c>
      <c r="E1178">
        <v>86</v>
      </c>
      <c r="F1178">
        <v>28</v>
      </c>
      <c r="G1178" s="1">
        <v>5600</v>
      </c>
      <c r="H1178" s="1">
        <v>5600</v>
      </c>
      <c r="I1178" s="1">
        <v>14392</v>
      </c>
      <c r="J1178" s="1">
        <v>2570</v>
      </c>
    </row>
    <row r="1179" spans="1:10" x14ac:dyDescent="0.3">
      <c r="A1179" t="s">
        <v>197</v>
      </c>
      <c r="B1179" t="s">
        <v>4</v>
      </c>
      <c r="C1179" t="s">
        <v>193</v>
      </c>
      <c r="D1179" t="s">
        <v>37</v>
      </c>
      <c r="E1179">
        <v>86</v>
      </c>
      <c r="F1179">
        <v>28</v>
      </c>
      <c r="G1179" s="1">
        <v>4800</v>
      </c>
      <c r="H1179" s="1">
        <v>4680</v>
      </c>
      <c r="I1179" s="1">
        <v>11326</v>
      </c>
      <c r="J1179" s="1">
        <v>2420</v>
      </c>
    </row>
    <row r="1180" spans="1:10" x14ac:dyDescent="0.3">
      <c r="A1180" t="s">
        <v>197</v>
      </c>
      <c r="B1180" t="s">
        <v>3</v>
      </c>
      <c r="C1180" t="s">
        <v>193</v>
      </c>
      <c r="D1180" t="s">
        <v>37</v>
      </c>
      <c r="E1180">
        <v>86</v>
      </c>
      <c r="F1180">
        <v>28</v>
      </c>
      <c r="G1180" s="1">
        <v>5850</v>
      </c>
      <c r="H1180" s="1">
        <v>5640</v>
      </c>
      <c r="I1180" s="1">
        <v>10152</v>
      </c>
      <c r="J1180" s="1">
        <v>1800</v>
      </c>
    </row>
    <row r="1181" spans="1:10" x14ac:dyDescent="0.3">
      <c r="A1181" t="s">
        <v>197</v>
      </c>
      <c r="B1181" t="s">
        <v>18</v>
      </c>
      <c r="C1181" t="s">
        <v>193</v>
      </c>
      <c r="D1181" t="s">
        <v>44</v>
      </c>
      <c r="E1181">
        <v>86</v>
      </c>
      <c r="F1181">
        <v>35</v>
      </c>
      <c r="G1181" s="1">
        <v>1625</v>
      </c>
      <c r="H1181" s="1">
        <v>1625</v>
      </c>
      <c r="I1181" s="1">
        <v>4063</v>
      </c>
      <c r="J1181" s="1">
        <v>2500</v>
      </c>
    </row>
    <row r="1182" spans="1:10" x14ac:dyDescent="0.3">
      <c r="A1182" t="s">
        <v>197</v>
      </c>
      <c r="B1182" t="s">
        <v>17</v>
      </c>
      <c r="C1182" t="s">
        <v>193</v>
      </c>
      <c r="D1182" t="s">
        <v>44</v>
      </c>
      <c r="E1182">
        <v>86</v>
      </c>
      <c r="F1182">
        <v>35</v>
      </c>
      <c r="G1182" s="1">
        <v>3050</v>
      </c>
      <c r="H1182" s="1">
        <v>3050</v>
      </c>
      <c r="I1182" s="1">
        <v>6710</v>
      </c>
      <c r="J1182" s="1">
        <v>2200</v>
      </c>
    </row>
    <row r="1183" spans="1:10" x14ac:dyDescent="0.3">
      <c r="A1183" t="s">
        <v>197</v>
      </c>
      <c r="B1183" t="s">
        <v>14</v>
      </c>
      <c r="C1183" t="s">
        <v>193</v>
      </c>
      <c r="D1183" t="s">
        <v>44</v>
      </c>
      <c r="E1183">
        <v>86</v>
      </c>
      <c r="F1183">
        <v>35</v>
      </c>
      <c r="G1183" s="1">
        <v>3050</v>
      </c>
      <c r="H1183" s="1">
        <v>3050</v>
      </c>
      <c r="I1183" s="1">
        <v>9150</v>
      </c>
      <c r="J1183" s="1">
        <v>3000</v>
      </c>
    </row>
    <row r="1184" spans="1:10" x14ac:dyDescent="0.3">
      <c r="A1184" t="s">
        <v>197</v>
      </c>
      <c r="B1184" t="s">
        <v>12</v>
      </c>
      <c r="C1184" t="s">
        <v>193</v>
      </c>
      <c r="D1184" t="s">
        <v>44</v>
      </c>
      <c r="E1184">
        <v>86</v>
      </c>
      <c r="F1184">
        <v>35</v>
      </c>
      <c r="G1184" s="1">
        <v>1625</v>
      </c>
      <c r="H1184" s="1">
        <v>1625</v>
      </c>
      <c r="I1184" s="1">
        <v>4063</v>
      </c>
      <c r="J1184" s="1">
        <v>2500</v>
      </c>
    </row>
    <row r="1185" spans="1:10" x14ac:dyDescent="0.3">
      <c r="A1185" t="s">
        <v>197</v>
      </c>
      <c r="B1185" t="s">
        <v>9</v>
      </c>
      <c r="C1185" t="s">
        <v>193</v>
      </c>
      <c r="D1185" t="s">
        <v>44</v>
      </c>
      <c r="E1185">
        <v>86</v>
      </c>
      <c r="F1185">
        <v>35</v>
      </c>
      <c r="G1185" s="1">
        <v>4600</v>
      </c>
      <c r="H1185" s="1">
        <v>4600</v>
      </c>
      <c r="I1185" s="1">
        <v>13800</v>
      </c>
      <c r="J1185" s="1">
        <v>3000</v>
      </c>
    </row>
    <row r="1186" spans="1:10" x14ac:dyDescent="0.3">
      <c r="A1186" t="s">
        <v>197</v>
      </c>
      <c r="B1186" t="s">
        <v>8</v>
      </c>
      <c r="C1186" t="s">
        <v>193</v>
      </c>
      <c r="D1186" t="s">
        <v>44</v>
      </c>
      <c r="E1186">
        <v>86</v>
      </c>
      <c r="F1186">
        <v>35</v>
      </c>
      <c r="G1186" s="1">
        <v>3000</v>
      </c>
      <c r="H1186" s="1">
        <v>3000</v>
      </c>
      <c r="I1186" s="1">
        <v>9000</v>
      </c>
      <c r="J1186" s="1">
        <v>3000</v>
      </c>
    </row>
    <row r="1187" spans="1:10" x14ac:dyDescent="0.3">
      <c r="A1187" t="s">
        <v>197</v>
      </c>
      <c r="B1187" t="s">
        <v>7</v>
      </c>
      <c r="C1187" t="s">
        <v>193</v>
      </c>
      <c r="D1187" t="s">
        <v>44</v>
      </c>
      <c r="E1187">
        <v>86</v>
      </c>
      <c r="F1187">
        <v>35</v>
      </c>
      <c r="G1187" s="1">
        <v>3000</v>
      </c>
      <c r="H1187" s="1">
        <v>3000</v>
      </c>
      <c r="I1187" s="1">
        <v>9000</v>
      </c>
      <c r="J1187" s="1">
        <v>3000</v>
      </c>
    </row>
    <row r="1188" spans="1:10" x14ac:dyDescent="0.3">
      <c r="A1188" t="s">
        <v>197</v>
      </c>
      <c r="B1188" t="s">
        <v>6</v>
      </c>
      <c r="C1188" t="s">
        <v>193</v>
      </c>
      <c r="D1188" t="s">
        <v>44</v>
      </c>
      <c r="E1188">
        <v>86</v>
      </c>
      <c r="F1188">
        <v>35</v>
      </c>
      <c r="G1188" s="1">
        <v>3500</v>
      </c>
      <c r="H1188" s="1">
        <v>3500</v>
      </c>
      <c r="I1188" s="1">
        <v>8750</v>
      </c>
      <c r="J1188" s="1">
        <v>2500</v>
      </c>
    </row>
    <row r="1189" spans="1:10" x14ac:dyDescent="0.3">
      <c r="A1189" t="s">
        <v>197</v>
      </c>
      <c r="B1189" t="s">
        <v>5</v>
      </c>
      <c r="C1189" t="s">
        <v>193</v>
      </c>
      <c r="D1189" t="s">
        <v>44</v>
      </c>
      <c r="E1189">
        <v>86</v>
      </c>
      <c r="F1189">
        <v>35</v>
      </c>
      <c r="G1189" s="1">
        <v>4000</v>
      </c>
      <c r="H1189" s="1">
        <v>4000</v>
      </c>
      <c r="I1189" s="1">
        <v>6000</v>
      </c>
      <c r="J1189" s="1">
        <v>1500</v>
      </c>
    </row>
    <row r="1190" spans="1:10" x14ac:dyDescent="0.3">
      <c r="A1190" t="s">
        <v>197</v>
      </c>
      <c r="B1190" t="s">
        <v>4</v>
      </c>
      <c r="C1190" t="s">
        <v>193</v>
      </c>
      <c r="D1190" t="s">
        <v>44</v>
      </c>
      <c r="E1190">
        <v>86</v>
      </c>
      <c r="F1190">
        <v>35</v>
      </c>
      <c r="G1190" s="1">
        <v>4000</v>
      </c>
      <c r="H1190" s="1">
        <v>4000</v>
      </c>
      <c r="I1190" s="1">
        <v>12148</v>
      </c>
      <c r="J1190" s="1">
        <v>3037</v>
      </c>
    </row>
    <row r="1191" spans="1:10" x14ac:dyDescent="0.3">
      <c r="A1191" t="s">
        <v>197</v>
      </c>
      <c r="B1191" t="s">
        <v>3</v>
      </c>
      <c r="C1191" t="s">
        <v>193</v>
      </c>
      <c r="D1191" t="s">
        <v>44</v>
      </c>
      <c r="E1191">
        <v>86</v>
      </c>
      <c r="F1191">
        <v>35</v>
      </c>
      <c r="G1191" s="1">
        <v>4600</v>
      </c>
      <c r="H1191" s="1">
        <v>4550</v>
      </c>
      <c r="I1191" s="1">
        <v>12740</v>
      </c>
      <c r="J1191" s="1">
        <v>2800</v>
      </c>
    </row>
    <row r="1192" spans="1:10" x14ac:dyDescent="0.3">
      <c r="A1192" t="s">
        <v>197</v>
      </c>
      <c r="B1192" t="s">
        <v>18</v>
      </c>
      <c r="C1192" t="s">
        <v>193</v>
      </c>
      <c r="D1192" t="s">
        <v>74</v>
      </c>
      <c r="E1192">
        <v>86</v>
      </c>
      <c r="F1192">
        <v>42</v>
      </c>
      <c r="G1192" s="1">
        <v>90750</v>
      </c>
      <c r="H1192" s="1">
        <v>63957</v>
      </c>
      <c r="I1192" s="1">
        <v>115123</v>
      </c>
      <c r="J1192" s="1">
        <v>1800</v>
      </c>
    </row>
    <row r="1193" spans="1:10" x14ac:dyDescent="0.3">
      <c r="A1193" t="s">
        <v>197</v>
      </c>
      <c r="B1193" t="s">
        <v>17</v>
      </c>
      <c r="C1193" t="s">
        <v>193</v>
      </c>
      <c r="D1193" t="s">
        <v>74</v>
      </c>
      <c r="E1193">
        <v>86</v>
      </c>
      <c r="F1193">
        <v>42</v>
      </c>
      <c r="G1193" s="1">
        <v>45804</v>
      </c>
      <c r="H1193" s="1">
        <v>41714</v>
      </c>
      <c r="I1193" s="1">
        <v>112629</v>
      </c>
      <c r="J1193" s="1">
        <v>2700</v>
      </c>
    </row>
    <row r="1194" spans="1:10" x14ac:dyDescent="0.3">
      <c r="A1194" t="s">
        <v>197</v>
      </c>
      <c r="B1194" t="s">
        <v>14</v>
      </c>
      <c r="C1194" t="s">
        <v>193</v>
      </c>
      <c r="D1194" t="s">
        <v>74</v>
      </c>
      <c r="E1194">
        <v>86</v>
      </c>
      <c r="F1194">
        <v>42</v>
      </c>
      <c r="G1194" s="1">
        <v>29470</v>
      </c>
      <c r="H1194" s="1">
        <v>28946</v>
      </c>
      <c r="I1194" s="1">
        <v>107102</v>
      </c>
      <c r="J1194" s="1">
        <v>3700</v>
      </c>
    </row>
    <row r="1195" spans="1:10" x14ac:dyDescent="0.3">
      <c r="A1195" t="s">
        <v>197</v>
      </c>
      <c r="B1195" t="s">
        <v>12</v>
      </c>
      <c r="C1195" t="s">
        <v>193</v>
      </c>
      <c r="D1195" t="s">
        <v>74</v>
      </c>
      <c r="E1195">
        <v>86</v>
      </c>
      <c r="F1195">
        <v>42</v>
      </c>
      <c r="G1195" s="1">
        <v>11299</v>
      </c>
      <c r="H1195" s="1">
        <v>11299</v>
      </c>
      <c r="I1195" s="1">
        <v>27118</v>
      </c>
      <c r="J1195" s="1">
        <v>2400</v>
      </c>
    </row>
    <row r="1196" spans="1:10" x14ac:dyDescent="0.3">
      <c r="A1196" t="s">
        <v>197</v>
      </c>
      <c r="B1196" t="s">
        <v>9</v>
      </c>
      <c r="C1196" t="s">
        <v>193</v>
      </c>
      <c r="D1196" t="s">
        <v>74</v>
      </c>
      <c r="E1196">
        <v>86</v>
      </c>
      <c r="F1196">
        <v>42</v>
      </c>
      <c r="G1196" s="1">
        <v>80000</v>
      </c>
      <c r="H1196" s="1">
        <v>69250</v>
      </c>
      <c r="I1196" s="1">
        <v>228525</v>
      </c>
      <c r="J1196" s="1">
        <v>3300</v>
      </c>
    </row>
    <row r="1197" spans="1:10" x14ac:dyDescent="0.3">
      <c r="A1197" t="s">
        <v>197</v>
      </c>
      <c r="B1197" t="s">
        <v>8</v>
      </c>
      <c r="C1197" t="s">
        <v>193</v>
      </c>
      <c r="D1197" t="s">
        <v>74</v>
      </c>
      <c r="E1197">
        <v>86</v>
      </c>
      <c r="F1197">
        <v>42</v>
      </c>
      <c r="G1197" s="1">
        <v>49000</v>
      </c>
      <c r="H1197" s="1">
        <v>48570</v>
      </c>
      <c r="I1197" s="1">
        <v>160281</v>
      </c>
      <c r="J1197" s="1">
        <v>3300</v>
      </c>
    </row>
    <row r="1198" spans="1:10" x14ac:dyDescent="0.3">
      <c r="A1198" t="s">
        <v>197</v>
      </c>
      <c r="B1198" t="s">
        <v>7</v>
      </c>
      <c r="C1198" t="s">
        <v>193</v>
      </c>
      <c r="D1198" t="s">
        <v>74</v>
      </c>
      <c r="E1198">
        <v>86</v>
      </c>
      <c r="F1198">
        <v>42</v>
      </c>
      <c r="G1198" s="1">
        <v>49000</v>
      </c>
      <c r="H1198" s="1">
        <v>49000</v>
      </c>
      <c r="I1198" s="1">
        <v>191100</v>
      </c>
      <c r="J1198" s="1">
        <v>3900</v>
      </c>
    </row>
    <row r="1199" spans="1:10" x14ac:dyDescent="0.3">
      <c r="A1199" t="s">
        <v>197</v>
      </c>
      <c r="B1199" t="s">
        <v>6</v>
      </c>
      <c r="C1199" t="s">
        <v>193</v>
      </c>
      <c r="D1199" t="s">
        <v>74</v>
      </c>
      <c r="E1199">
        <v>86</v>
      </c>
      <c r="F1199">
        <v>42</v>
      </c>
      <c r="G1199" s="1">
        <v>49000</v>
      </c>
      <c r="H1199" s="1">
        <v>49000</v>
      </c>
      <c r="I1199" s="1">
        <v>156800</v>
      </c>
      <c r="J1199" s="1">
        <v>3200</v>
      </c>
    </row>
    <row r="1200" spans="1:10" x14ac:dyDescent="0.3">
      <c r="A1200" t="s">
        <v>197</v>
      </c>
      <c r="B1200" t="s">
        <v>5</v>
      </c>
      <c r="C1200" t="s">
        <v>193</v>
      </c>
      <c r="D1200" t="s">
        <v>74</v>
      </c>
      <c r="E1200">
        <v>86</v>
      </c>
      <c r="F1200">
        <v>42</v>
      </c>
      <c r="G1200" s="1">
        <v>89400</v>
      </c>
      <c r="H1200" s="1">
        <v>89400</v>
      </c>
      <c r="I1200" s="1">
        <v>250320</v>
      </c>
      <c r="J1200" s="1">
        <v>2800</v>
      </c>
    </row>
    <row r="1201" spans="1:10" x14ac:dyDescent="0.3">
      <c r="A1201" t="s">
        <v>197</v>
      </c>
      <c r="B1201" t="s">
        <v>4</v>
      </c>
      <c r="C1201" t="s">
        <v>193</v>
      </c>
      <c r="D1201" t="s">
        <v>74</v>
      </c>
      <c r="E1201">
        <v>86</v>
      </c>
      <c r="F1201">
        <v>42</v>
      </c>
      <c r="G1201" s="1">
        <v>87500</v>
      </c>
      <c r="H1201" s="1">
        <v>86600</v>
      </c>
      <c r="I1201" s="1">
        <v>251140</v>
      </c>
      <c r="J1201" s="1">
        <v>2900</v>
      </c>
    </row>
    <row r="1202" spans="1:10" x14ac:dyDescent="0.3">
      <c r="A1202" t="s">
        <v>197</v>
      </c>
      <c r="B1202" t="s">
        <v>3</v>
      </c>
      <c r="C1202" t="s">
        <v>193</v>
      </c>
      <c r="D1202" t="s">
        <v>74</v>
      </c>
      <c r="E1202">
        <v>86</v>
      </c>
      <c r="F1202">
        <v>42</v>
      </c>
      <c r="G1202" s="1">
        <v>105700</v>
      </c>
      <c r="H1202" s="1">
        <v>101830</v>
      </c>
      <c r="I1202" s="1">
        <v>343167</v>
      </c>
      <c r="J1202" s="1">
        <v>3370</v>
      </c>
    </row>
    <row r="1203" spans="1:10" x14ac:dyDescent="0.3">
      <c r="A1203" t="s">
        <v>197</v>
      </c>
      <c r="B1203" t="s">
        <v>18</v>
      </c>
      <c r="C1203" t="s">
        <v>193</v>
      </c>
      <c r="D1203" t="s">
        <v>41</v>
      </c>
      <c r="E1203">
        <v>86</v>
      </c>
      <c r="F1203">
        <v>49</v>
      </c>
      <c r="G1203" s="1">
        <v>1625</v>
      </c>
      <c r="H1203" s="1">
        <v>1625</v>
      </c>
      <c r="I1203" s="1">
        <v>4063</v>
      </c>
      <c r="J1203" s="1">
        <v>2500</v>
      </c>
    </row>
    <row r="1204" spans="1:10" x14ac:dyDescent="0.3">
      <c r="A1204" t="s">
        <v>197</v>
      </c>
      <c r="B1204" t="s">
        <v>17</v>
      </c>
      <c r="C1204" t="s">
        <v>193</v>
      </c>
      <c r="D1204" t="s">
        <v>41</v>
      </c>
      <c r="E1204">
        <v>86</v>
      </c>
      <c r="F1204">
        <v>49</v>
      </c>
      <c r="G1204" s="1">
        <v>1765</v>
      </c>
      <c r="H1204" s="1">
        <v>1765</v>
      </c>
      <c r="I1204" s="1">
        <v>4766</v>
      </c>
      <c r="J1204" s="1">
        <v>2700</v>
      </c>
    </row>
    <row r="1205" spans="1:10" x14ac:dyDescent="0.3">
      <c r="A1205" t="s">
        <v>197</v>
      </c>
      <c r="B1205" t="s">
        <v>14</v>
      </c>
      <c r="C1205" t="s">
        <v>193</v>
      </c>
      <c r="D1205" t="s">
        <v>41</v>
      </c>
      <c r="E1205">
        <v>86</v>
      </c>
      <c r="F1205">
        <v>49</v>
      </c>
      <c r="G1205" s="1">
        <v>2550</v>
      </c>
      <c r="H1205" s="1">
        <v>2550</v>
      </c>
      <c r="I1205" s="1">
        <v>8925</v>
      </c>
      <c r="J1205" s="1">
        <v>3500</v>
      </c>
    </row>
    <row r="1206" spans="1:10" x14ac:dyDescent="0.3">
      <c r="A1206" t="s">
        <v>197</v>
      </c>
      <c r="B1206" t="s">
        <v>12</v>
      </c>
      <c r="C1206" t="s">
        <v>193</v>
      </c>
      <c r="D1206" t="s">
        <v>41</v>
      </c>
      <c r="E1206">
        <v>86</v>
      </c>
      <c r="F1206">
        <v>49</v>
      </c>
      <c r="G1206" s="1">
        <v>2100</v>
      </c>
      <c r="H1206" s="1">
        <v>2100</v>
      </c>
      <c r="I1206" s="1">
        <v>5880</v>
      </c>
      <c r="J1206" s="1">
        <v>2800</v>
      </c>
    </row>
    <row r="1207" spans="1:10" x14ac:dyDescent="0.3">
      <c r="A1207" t="s">
        <v>197</v>
      </c>
      <c r="B1207" t="s">
        <v>9</v>
      </c>
      <c r="C1207" t="s">
        <v>193</v>
      </c>
      <c r="D1207" t="s">
        <v>41</v>
      </c>
      <c r="E1207">
        <v>86</v>
      </c>
      <c r="F1207">
        <v>49</v>
      </c>
      <c r="G1207" s="1">
        <v>4000</v>
      </c>
      <c r="H1207" s="1">
        <v>4000</v>
      </c>
      <c r="I1207" s="1">
        <v>14000</v>
      </c>
      <c r="J1207" s="1">
        <v>3500</v>
      </c>
    </row>
    <row r="1208" spans="1:10" x14ac:dyDescent="0.3">
      <c r="A1208" t="s">
        <v>197</v>
      </c>
      <c r="B1208" t="s">
        <v>8</v>
      </c>
      <c r="C1208" t="s">
        <v>193</v>
      </c>
      <c r="D1208" t="s">
        <v>41</v>
      </c>
      <c r="E1208">
        <v>86</v>
      </c>
      <c r="F1208">
        <v>49</v>
      </c>
      <c r="G1208" s="1">
        <v>3000</v>
      </c>
      <c r="H1208" s="1">
        <v>3000</v>
      </c>
      <c r="I1208" s="1">
        <v>9000</v>
      </c>
      <c r="J1208" s="1">
        <v>3000</v>
      </c>
    </row>
    <row r="1209" spans="1:10" x14ac:dyDescent="0.3">
      <c r="A1209" t="s">
        <v>197</v>
      </c>
      <c r="B1209" t="s">
        <v>7</v>
      </c>
      <c r="C1209" t="s">
        <v>193</v>
      </c>
      <c r="D1209" t="s">
        <v>41</v>
      </c>
      <c r="E1209">
        <v>86</v>
      </c>
      <c r="F1209">
        <v>49</v>
      </c>
      <c r="G1209" s="1">
        <v>3000</v>
      </c>
      <c r="H1209" s="1">
        <v>3000</v>
      </c>
      <c r="I1209" s="1">
        <v>9000</v>
      </c>
      <c r="J1209" s="1">
        <v>3000</v>
      </c>
    </row>
    <row r="1210" spans="1:10" x14ac:dyDescent="0.3">
      <c r="A1210" t="s">
        <v>197</v>
      </c>
      <c r="B1210" t="s">
        <v>6</v>
      </c>
      <c r="C1210" t="s">
        <v>193</v>
      </c>
      <c r="D1210" t="s">
        <v>41</v>
      </c>
      <c r="E1210">
        <v>86</v>
      </c>
      <c r="F1210">
        <v>49</v>
      </c>
      <c r="G1210" s="1">
        <v>3500</v>
      </c>
      <c r="H1210" s="1">
        <v>3500</v>
      </c>
      <c r="I1210" s="1">
        <v>8750</v>
      </c>
      <c r="J1210" s="1">
        <v>2500</v>
      </c>
    </row>
    <row r="1211" spans="1:10" x14ac:dyDescent="0.3">
      <c r="A1211" t="s">
        <v>197</v>
      </c>
      <c r="B1211" t="s">
        <v>5</v>
      </c>
      <c r="C1211" t="s">
        <v>193</v>
      </c>
      <c r="D1211" t="s">
        <v>41</v>
      </c>
      <c r="E1211">
        <v>86</v>
      </c>
      <c r="F1211">
        <v>49</v>
      </c>
      <c r="G1211" s="1">
        <v>4000</v>
      </c>
      <c r="H1211" s="1">
        <v>4000</v>
      </c>
      <c r="I1211" s="1">
        <v>6000</v>
      </c>
      <c r="J1211" s="1">
        <v>1500</v>
      </c>
    </row>
    <row r="1212" spans="1:10" x14ac:dyDescent="0.3">
      <c r="A1212" t="s">
        <v>197</v>
      </c>
      <c r="B1212" t="s">
        <v>4</v>
      </c>
      <c r="C1212" t="s">
        <v>193</v>
      </c>
      <c r="D1212" t="s">
        <v>41</v>
      </c>
      <c r="E1212">
        <v>86</v>
      </c>
      <c r="F1212">
        <v>49</v>
      </c>
      <c r="G1212" s="1">
        <v>4000</v>
      </c>
      <c r="H1212" s="1">
        <v>3990</v>
      </c>
      <c r="I1212" s="1">
        <v>12162</v>
      </c>
      <c r="J1212" s="1">
        <v>3048</v>
      </c>
    </row>
    <row r="1213" spans="1:10" x14ac:dyDescent="0.3">
      <c r="A1213" t="s">
        <v>197</v>
      </c>
      <c r="B1213" t="s">
        <v>3</v>
      </c>
      <c r="C1213" t="s">
        <v>193</v>
      </c>
      <c r="D1213" t="s">
        <v>41</v>
      </c>
      <c r="E1213">
        <v>86</v>
      </c>
      <c r="F1213">
        <v>49</v>
      </c>
      <c r="G1213" s="1">
        <v>4600</v>
      </c>
      <c r="H1213" s="1">
        <v>4530</v>
      </c>
      <c r="I1213" s="1">
        <v>10419</v>
      </c>
      <c r="J1213" s="1">
        <v>2300</v>
      </c>
    </row>
    <row r="1214" spans="1:10" x14ac:dyDescent="0.3">
      <c r="A1214" t="s">
        <v>197</v>
      </c>
      <c r="B1214" t="s">
        <v>18</v>
      </c>
      <c r="C1214" t="s">
        <v>193</v>
      </c>
      <c r="D1214" t="s">
        <v>48</v>
      </c>
      <c r="E1214">
        <v>86</v>
      </c>
      <c r="F1214">
        <v>63</v>
      </c>
      <c r="G1214" s="1">
        <v>5000</v>
      </c>
      <c r="H1214" s="1">
        <v>5000</v>
      </c>
      <c r="I1214" s="1">
        <v>10000</v>
      </c>
      <c r="J1214" s="1">
        <v>2000</v>
      </c>
    </row>
    <row r="1215" spans="1:10" x14ac:dyDescent="0.3">
      <c r="A1215" t="s">
        <v>197</v>
      </c>
      <c r="B1215" t="s">
        <v>17</v>
      </c>
      <c r="C1215" t="s">
        <v>193</v>
      </c>
      <c r="D1215" t="s">
        <v>48</v>
      </c>
      <c r="E1215">
        <v>86</v>
      </c>
      <c r="F1215">
        <v>63</v>
      </c>
      <c r="G1215" s="1">
        <v>5000</v>
      </c>
      <c r="H1215" s="1">
        <v>5000</v>
      </c>
      <c r="I1215" s="1">
        <v>10500</v>
      </c>
      <c r="J1215" s="1">
        <v>2100</v>
      </c>
    </row>
    <row r="1216" spans="1:10" x14ac:dyDescent="0.3">
      <c r="A1216" t="s">
        <v>197</v>
      </c>
      <c r="B1216" t="s">
        <v>14</v>
      </c>
      <c r="C1216" t="s">
        <v>193</v>
      </c>
      <c r="D1216" t="s">
        <v>48</v>
      </c>
      <c r="E1216">
        <v>86</v>
      </c>
      <c r="F1216">
        <v>63</v>
      </c>
      <c r="G1216" s="1">
        <v>6000</v>
      </c>
      <c r="H1216" s="1">
        <v>6000</v>
      </c>
      <c r="I1216" s="1">
        <v>16800</v>
      </c>
      <c r="J1216" s="1">
        <v>2800</v>
      </c>
    </row>
    <row r="1217" spans="1:10" x14ac:dyDescent="0.3">
      <c r="A1217" t="s">
        <v>197</v>
      </c>
      <c r="B1217" t="s">
        <v>12</v>
      </c>
      <c r="C1217" t="s">
        <v>193</v>
      </c>
      <c r="D1217" t="s">
        <v>48</v>
      </c>
      <c r="E1217">
        <v>86</v>
      </c>
      <c r="F1217">
        <v>63</v>
      </c>
      <c r="G1217" s="1">
        <v>6000</v>
      </c>
      <c r="H1217" s="1">
        <v>6000</v>
      </c>
      <c r="I1217" s="1">
        <v>15000</v>
      </c>
      <c r="J1217" s="1">
        <v>2500</v>
      </c>
    </row>
    <row r="1218" spans="1:10" x14ac:dyDescent="0.3">
      <c r="A1218" t="s">
        <v>197</v>
      </c>
      <c r="B1218" t="s">
        <v>9</v>
      </c>
      <c r="C1218" t="s">
        <v>193</v>
      </c>
      <c r="D1218" t="s">
        <v>48</v>
      </c>
      <c r="E1218">
        <v>86</v>
      </c>
      <c r="F1218">
        <v>63</v>
      </c>
      <c r="G1218" s="1">
        <v>5000</v>
      </c>
      <c r="H1218" s="1">
        <v>5000</v>
      </c>
      <c r="I1218" s="1">
        <v>17500</v>
      </c>
      <c r="J1218" s="1">
        <v>3500</v>
      </c>
    </row>
    <row r="1219" spans="1:10" x14ac:dyDescent="0.3">
      <c r="A1219" t="s">
        <v>197</v>
      </c>
      <c r="B1219" t="s">
        <v>8</v>
      </c>
      <c r="C1219" t="s">
        <v>193</v>
      </c>
      <c r="D1219" t="s">
        <v>48</v>
      </c>
      <c r="E1219">
        <v>86</v>
      </c>
      <c r="F1219">
        <v>63</v>
      </c>
      <c r="G1219" s="1">
        <v>5000</v>
      </c>
      <c r="H1219" s="1">
        <v>5000</v>
      </c>
      <c r="I1219" s="1">
        <v>15000</v>
      </c>
      <c r="J1219" s="1">
        <v>3000</v>
      </c>
    </row>
    <row r="1220" spans="1:10" x14ac:dyDescent="0.3">
      <c r="A1220" t="s">
        <v>197</v>
      </c>
      <c r="B1220" t="s">
        <v>7</v>
      </c>
      <c r="C1220" t="s">
        <v>193</v>
      </c>
      <c r="D1220" t="s">
        <v>48</v>
      </c>
      <c r="E1220">
        <v>86</v>
      </c>
      <c r="F1220">
        <v>63</v>
      </c>
      <c r="G1220" s="1">
        <v>5500</v>
      </c>
      <c r="H1220" s="1">
        <v>5500</v>
      </c>
      <c r="I1220" s="1">
        <v>16500</v>
      </c>
      <c r="J1220" s="1">
        <v>3000</v>
      </c>
    </row>
    <row r="1221" spans="1:10" x14ac:dyDescent="0.3">
      <c r="A1221" t="s">
        <v>197</v>
      </c>
      <c r="B1221" t="s">
        <v>6</v>
      </c>
      <c r="C1221" t="s">
        <v>193</v>
      </c>
      <c r="D1221" t="s">
        <v>48</v>
      </c>
      <c r="E1221">
        <v>86</v>
      </c>
      <c r="F1221">
        <v>63</v>
      </c>
      <c r="G1221" s="1">
        <v>5500</v>
      </c>
      <c r="H1221" s="1">
        <v>5500</v>
      </c>
      <c r="I1221" s="1">
        <v>13750</v>
      </c>
      <c r="J1221" s="1">
        <v>2500</v>
      </c>
    </row>
    <row r="1222" spans="1:10" x14ac:dyDescent="0.3">
      <c r="A1222" t="s">
        <v>197</v>
      </c>
      <c r="B1222" t="s">
        <v>5</v>
      </c>
      <c r="C1222" t="s">
        <v>193</v>
      </c>
      <c r="D1222" t="s">
        <v>48</v>
      </c>
      <c r="E1222">
        <v>86</v>
      </c>
      <c r="F1222">
        <v>63</v>
      </c>
      <c r="G1222" s="1">
        <v>6000</v>
      </c>
      <c r="H1222" s="1">
        <v>6000</v>
      </c>
      <c r="I1222" s="1">
        <v>9000</v>
      </c>
      <c r="J1222" s="1">
        <v>1500</v>
      </c>
    </row>
    <row r="1223" spans="1:10" x14ac:dyDescent="0.3">
      <c r="A1223" t="s">
        <v>197</v>
      </c>
      <c r="B1223" t="s">
        <v>4</v>
      </c>
      <c r="C1223" t="s">
        <v>193</v>
      </c>
      <c r="D1223" t="s">
        <v>48</v>
      </c>
      <c r="E1223">
        <v>86</v>
      </c>
      <c r="F1223">
        <v>63</v>
      </c>
      <c r="G1223" s="1">
        <v>6000</v>
      </c>
      <c r="H1223" s="1">
        <v>5990</v>
      </c>
      <c r="I1223" s="1">
        <v>18329</v>
      </c>
      <c r="J1223" s="1">
        <v>3060</v>
      </c>
    </row>
    <row r="1224" spans="1:10" x14ac:dyDescent="0.3">
      <c r="A1224" t="s">
        <v>197</v>
      </c>
      <c r="B1224" t="s">
        <v>3</v>
      </c>
      <c r="C1224" t="s">
        <v>193</v>
      </c>
      <c r="D1224" t="s">
        <v>48</v>
      </c>
      <c r="E1224">
        <v>86</v>
      </c>
      <c r="F1224">
        <v>63</v>
      </c>
      <c r="G1224" s="1">
        <v>6900</v>
      </c>
      <c r="H1224" s="1">
        <v>6820</v>
      </c>
      <c r="I1224" s="1">
        <v>15686</v>
      </c>
      <c r="J1224" s="1">
        <v>2300</v>
      </c>
    </row>
    <row r="1225" spans="1:10" x14ac:dyDescent="0.3">
      <c r="A1225" t="s">
        <v>197</v>
      </c>
      <c r="B1225" t="s">
        <v>18</v>
      </c>
      <c r="C1225" t="s">
        <v>193</v>
      </c>
      <c r="D1225" t="s">
        <v>51</v>
      </c>
      <c r="E1225">
        <v>86</v>
      </c>
      <c r="F1225">
        <v>56</v>
      </c>
      <c r="G1225" s="1">
        <v>8500</v>
      </c>
      <c r="H1225" s="1">
        <v>8000</v>
      </c>
      <c r="I1225" s="1">
        <v>19200</v>
      </c>
      <c r="J1225" s="1">
        <v>2400</v>
      </c>
    </row>
    <row r="1226" spans="1:10" x14ac:dyDescent="0.3">
      <c r="A1226" t="s">
        <v>197</v>
      </c>
      <c r="B1226" t="s">
        <v>17</v>
      </c>
      <c r="C1226" t="s">
        <v>193</v>
      </c>
      <c r="D1226" t="s">
        <v>51</v>
      </c>
      <c r="E1226">
        <v>86</v>
      </c>
      <c r="F1226">
        <v>56</v>
      </c>
      <c r="G1226" s="1">
        <v>8500</v>
      </c>
      <c r="H1226" s="1">
        <v>8500</v>
      </c>
      <c r="I1226" s="1">
        <v>18700</v>
      </c>
      <c r="J1226" s="1">
        <v>2200</v>
      </c>
    </row>
    <row r="1227" spans="1:10" x14ac:dyDescent="0.3">
      <c r="A1227" t="s">
        <v>197</v>
      </c>
      <c r="B1227" t="s">
        <v>14</v>
      </c>
      <c r="C1227" t="s">
        <v>193</v>
      </c>
      <c r="D1227" t="s">
        <v>51</v>
      </c>
      <c r="E1227">
        <v>86</v>
      </c>
      <c r="F1227">
        <v>56</v>
      </c>
      <c r="G1227" s="1">
        <v>8500</v>
      </c>
      <c r="H1227" s="1">
        <v>8370</v>
      </c>
      <c r="I1227" s="1">
        <v>25947</v>
      </c>
      <c r="J1227" s="1">
        <v>3100</v>
      </c>
    </row>
    <row r="1228" spans="1:10" x14ac:dyDescent="0.3">
      <c r="A1228" t="s">
        <v>197</v>
      </c>
      <c r="B1228" t="s">
        <v>12</v>
      </c>
      <c r="C1228" t="s">
        <v>193</v>
      </c>
      <c r="D1228" t="s">
        <v>51</v>
      </c>
      <c r="E1228">
        <v>86</v>
      </c>
      <c r="F1228">
        <v>56</v>
      </c>
      <c r="G1228" s="1">
        <v>8500</v>
      </c>
      <c r="H1228" s="1">
        <v>8370</v>
      </c>
      <c r="I1228" s="1">
        <v>22599</v>
      </c>
      <c r="J1228" s="1">
        <v>2700</v>
      </c>
    </row>
    <row r="1229" spans="1:10" x14ac:dyDescent="0.3">
      <c r="A1229" t="s">
        <v>197</v>
      </c>
      <c r="B1229" t="s">
        <v>9</v>
      </c>
      <c r="C1229" t="s">
        <v>193</v>
      </c>
      <c r="D1229" t="s">
        <v>51</v>
      </c>
      <c r="E1229">
        <v>86</v>
      </c>
      <c r="F1229">
        <v>56</v>
      </c>
      <c r="G1229" s="1">
        <v>6615</v>
      </c>
      <c r="H1229" s="1">
        <v>6405</v>
      </c>
      <c r="I1229" s="1">
        <v>19215</v>
      </c>
      <c r="J1229" s="1">
        <v>3000</v>
      </c>
    </row>
    <row r="1230" spans="1:10" x14ac:dyDescent="0.3">
      <c r="A1230" t="s">
        <v>197</v>
      </c>
      <c r="B1230" t="s">
        <v>8</v>
      </c>
      <c r="C1230" t="s">
        <v>193</v>
      </c>
      <c r="D1230" t="s">
        <v>51</v>
      </c>
      <c r="E1230">
        <v>86</v>
      </c>
      <c r="F1230">
        <v>56</v>
      </c>
      <c r="G1230" s="1">
        <v>6800</v>
      </c>
      <c r="H1230" s="1">
        <v>6670</v>
      </c>
      <c r="I1230" s="1">
        <v>21344</v>
      </c>
      <c r="J1230" s="1">
        <v>3200</v>
      </c>
    </row>
    <row r="1231" spans="1:10" x14ac:dyDescent="0.3">
      <c r="A1231" t="s">
        <v>197</v>
      </c>
      <c r="B1231" t="s">
        <v>7</v>
      </c>
      <c r="C1231" t="s">
        <v>193</v>
      </c>
      <c r="D1231" t="s">
        <v>51</v>
      </c>
      <c r="E1231">
        <v>86</v>
      </c>
      <c r="F1231">
        <v>56</v>
      </c>
      <c r="G1231" s="1">
        <v>9500</v>
      </c>
      <c r="H1231" s="1">
        <v>9500</v>
      </c>
      <c r="I1231" s="1">
        <v>28500</v>
      </c>
      <c r="J1231" s="1">
        <v>3000</v>
      </c>
    </row>
    <row r="1232" spans="1:10" x14ac:dyDescent="0.3">
      <c r="A1232" t="s">
        <v>197</v>
      </c>
      <c r="B1232" t="s">
        <v>6</v>
      </c>
      <c r="C1232" t="s">
        <v>193</v>
      </c>
      <c r="D1232" t="s">
        <v>51</v>
      </c>
      <c r="E1232">
        <v>86</v>
      </c>
      <c r="F1232">
        <v>56</v>
      </c>
      <c r="G1232" s="1">
        <v>9500</v>
      </c>
      <c r="H1232" s="1">
        <v>9500</v>
      </c>
      <c r="I1232" s="1">
        <v>28500</v>
      </c>
      <c r="J1232" s="1">
        <v>3000</v>
      </c>
    </row>
    <row r="1233" spans="1:10" x14ac:dyDescent="0.3">
      <c r="A1233" t="s">
        <v>197</v>
      </c>
      <c r="B1233" t="s">
        <v>5</v>
      </c>
      <c r="C1233" t="s">
        <v>193</v>
      </c>
      <c r="D1233" t="s">
        <v>51</v>
      </c>
      <c r="E1233">
        <v>86</v>
      </c>
      <c r="F1233">
        <v>56</v>
      </c>
      <c r="G1233" s="1">
        <v>19500</v>
      </c>
      <c r="H1233" s="1">
        <v>19500</v>
      </c>
      <c r="I1233" s="1">
        <v>50115</v>
      </c>
      <c r="J1233" s="1">
        <v>2570</v>
      </c>
    </row>
    <row r="1234" spans="1:10" x14ac:dyDescent="0.3">
      <c r="A1234" t="s">
        <v>197</v>
      </c>
      <c r="B1234" t="s">
        <v>4</v>
      </c>
      <c r="C1234" t="s">
        <v>193</v>
      </c>
      <c r="D1234" t="s">
        <v>51</v>
      </c>
      <c r="E1234">
        <v>86</v>
      </c>
      <c r="F1234">
        <v>56</v>
      </c>
      <c r="G1234" s="1">
        <v>21300</v>
      </c>
      <c r="H1234" s="1">
        <v>21120</v>
      </c>
      <c r="I1234" s="1">
        <v>48576</v>
      </c>
      <c r="J1234" s="1">
        <v>2300</v>
      </c>
    </row>
    <row r="1235" spans="1:10" x14ac:dyDescent="0.3">
      <c r="A1235" t="s">
        <v>197</v>
      </c>
      <c r="B1235" t="s">
        <v>3</v>
      </c>
      <c r="C1235" t="s">
        <v>193</v>
      </c>
      <c r="D1235" t="s">
        <v>51</v>
      </c>
      <c r="E1235">
        <v>86</v>
      </c>
      <c r="F1235">
        <v>56</v>
      </c>
      <c r="G1235" s="1">
        <v>25350</v>
      </c>
      <c r="H1235" s="1">
        <v>19120</v>
      </c>
      <c r="I1235" s="1">
        <v>21032</v>
      </c>
      <c r="J1235" s="1">
        <v>1100</v>
      </c>
    </row>
    <row r="1236" spans="1:10" x14ac:dyDescent="0.3">
      <c r="A1236" t="s">
        <v>197</v>
      </c>
      <c r="B1236" t="s">
        <v>18</v>
      </c>
      <c r="C1236" t="s">
        <v>193</v>
      </c>
      <c r="D1236" t="s">
        <v>38</v>
      </c>
      <c r="E1236">
        <v>86</v>
      </c>
      <c r="F1236">
        <v>70</v>
      </c>
      <c r="G1236" s="1">
        <v>25</v>
      </c>
      <c r="H1236" s="1">
        <v>25</v>
      </c>
      <c r="I1236" s="1">
        <v>45</v>
      </c>
      <c r="J1236" s="1">
        <v>1800</v>
      </c>
    </row>
    <row r="1237" spans="1:10" x14ac:dyDescent="0.3">
      <c r="A1237" t="s">
        <v>197</v>
      </c>
      <c r="B1237" t="s">
        <v>17</v>
      </c>
      <c r="C1237" t="s">
        <v>193</v>
      </c>
      <c r="D1237" t="s">
        <v>38</v>
      </c>
      <c r="E1237">
        <v>86</v>
      </c>
      <c r="F1237">
        <v>70</v>
      </c>
      <c r="G1237" s="1">
        <v>500</v>
      </c>
      <c r="H1237" s="1">
        <v>500</v>
      </c>
      <c r="I1237" s="1">
        <v>850</v>
      </c>
      <c r="J1237" s="1">
        <v>1700</v>
      </c>
    </row>
    <row r="1238" spans="1:10" x14ac:dyDescent="0.3">
      <c r="A1238" t="s">
        <v>197</v>
      </c>
      <c r="B1238" t="s">
        <v>14</v>
      </c>
      <c r="C1238" t="s">
        <v>193</v>
      </c>
      <c r="D1238" t="s">
        <v>38</v>
      </c>
      <c r="E1238">
        <v>86</v>
      </c>
      <c r="F1238">
        <v>70</v>
      </c>
      <c r="G1238" s="1">
        <v>1000</v>
      </c>
      <c r="H1238" s="1">
        <v>1000</v>
      </c>
      <c r="I1238" s="1">
        <v>2800</v>
      </c>
      <c r="J1238" s="1">
        <v>2800</v>
      </c>
    </row>
    <row r="1239" spans="1:10" x14ac:dyDescent="0.3">
      <c r="A1239" t="s">
        <v>197</v>
      </c>
      <c r="B1239" t="s">
        <v>12</v>
      </c>
      <c r="C1239" t="s">
        <v>193</v>
      </c>
      <c r="D1239" t="s">
        <v>38</v>
      </c>
      <c r="E1239">
        <v>86</v>
      </c>
      <c r="F1239">
        <v>70</v>
      </c>
      <c r="G1239" s="1">
        <v>1000</v>
      </c>
      <c r="H1239" s="1">
        <v>1000</v>
      </c>
      <c r="I1239" s="1">
        <v>2000</v>
      </c>
      <c r="J1239" s="1">
        <v>2000</v>
      </c>
    </row>
    <row r="1240" spans="1:10" x14ac:dyDescent="0.3">
      <c r="A1240" t="s">
        <v>197</v>
      </c>
      <c r="B1240" t="s">
        <v>9</v>
      </c>
      <c r="C1240" t="s">
        <v>193</v>
      </c>
      <c r="D1240" t="s">
        <v>38</v>
      </c>
      <c r="E1240">
        <v>86</v>
      </c>
      <c r="F1240">
        <v>70</v>
      </c>
      <c r="G1240" s="1">
        <v>1500</v>
      </c>
      <c r="H1240" s="1">
        <v>1500</v>
      </c>
      <c r="I1240" s="1">
        <v>4350</v>
      </c>
      <c r="J1240" s="1">
        <v>2900</v>
      </c>
    </row>
    <row r="1241" spans="1:10" x14ac:dyDescent="0.3">
      <c r="A1241" t="s">
        <v>197</v>
      </c>
      <c r="B1241" t="s">
        <v>8</v>
      </c>
      <c r="C1241" t="s">
        <v>193</v>
      </c>
      <c r="D1241" t="s">
        <v>38</v>
      </c>
      <c r="E1241">
        <v>86</v>
      </c>
      <c r="F1241">
        <v>70</v>
      </c>
      <c r="G1241" s="1">
        <v>1500</v>
      </c>
      <c r="H1241" s="1">
        <v>1500</v>
      </c>
      <c r="I1241" s="1">
        <v>4500</v>
      </c>
      <c r="J1241" s="1">
        <v>3000</v>
      </c>
    </row>
    <row r="1242" spans="1:10" x14ac:dyDescent="0.3">
      <c r="A1242" t="s">
        <v>197</v>
      </c>
      <c r="B1242" t="s">
        <v>7</v>
      </c>
      <c r="C1242" t="s">
        <v>193</v>
      </c>
      <c r="D1242" t="s">
        <v>38</v>
      </c>
      <c r="E1242">
        <v>86</v>
      </c>
      <c r="F1242">
        <v>70</v>
      </c>
      <c r="G1242" s="1">
        <v>1000</v>
      </c>
      <c r="H1242" s="1">
        <v>1000</v>
      </c>
      <c r="I1242" s="1">
        <v>3000</v>
      </c>
      <c r="J1242" s="1">
        <v>3000</v>
      </c>
    </row>
    <row r="1243" spans="1:10" x14ac:dyDescent="0.3">
      <c r="A1243" t="s">
        <v>197</v>
      </c>
      <c r="B1243" t="s">
        <v>6</v>
      </c>
      <c r="C1243" t="s">
        <v>193</v>
      </c>
      <c r="D1243" t="s">
        <v>38</v>
      </c>
      <c r="E1243">
        <v>86</v>
      </c>
      <c r="F1243">
        <v>70</v>
      </c>
      <c r="G1243" s="1">
        <v>1000</v>
      </c>
      <c r="H1243" s="1">
        <v>1000</v>
      </c>
      <c r="I1243" s="1">
        <v>2500</v>
      </c>
      <c r="J1243" s="1">
        <v>2500</v>
      </c>
    </row>
    <row r="1244" spans="1:10" x14ac:dyDescent="0.3">
      <c r="A1244" t="s">
        <v>197</v>
      </c>
      <c r="B1244" t="s">
        <v>5</v>
      </c>
      <c r="C1244" t="s">
        <v>193</v>
      </c>
      <c r="D1244" t="s">
        <v>38</v>
      </c>
      <c r="E1244">
        <v>86</v>
      </c>
      <c r="F1244">
        <v>70</v>
      </c>
      <c r="G1244" s="1">
        <v>2000</v>
      </c>
      <c r="H1244" s="1">
        <v>2000</v>
      </c>
      <c r="I1244" s="1">
        <v>3000</v>
      </c>
      <c r="J1244" s="1">
        <v>1500</v>
      </c>
    </row>
    <row r="1245" spans="1:10" x14ac:dyDescent="0.3">
      <c r="A1245" t="s">
        <v>197</v>
      </c>
      <c r="B1245" t="s">
        <v>4</v>
      </c>
      <c r="C1245" t="s">
        <v>193</v>
      </c>
      <c r="D1245" t="s">
        <v>38</v>
      </c>
      <c r="E1245">
        <v>86</v>
      </c>
      <c r="F1245">
        <v>70</v>
      </c>
      <c r="G1245" s="1">
        <v>2000</v>
      </c>
      <c r="H1245" s="1">
        <v>1980</v>
      </c>
      <c r="I1245" s="1">
        <v>6138</v>
      </c>
      <c r="J1245" s="1">
        <v>3100</v>
      </c>
    </row>
    <row r="1246" spans="1:10" x14ac:dyDescent="0.3">
      <c r="A1246" t="s">
        <v>197</v>
      </c>
      <c r="B1246" t="s">
        <v>3</v>
      </c>
      <c r="C1246" t="s">
        <v>193</v>
      </c>
      <c r="D1246" t="s">
        <v>38</v>
      </c>
      <c r="E1246">
        <v>86</v>
      </c>
      <c r="F1246">
        <v>70</v>
      </c>
      <c r="G1246" s="1">
        <v>2200</v>
      </c>
      <c r="H1246" s="1">
        <v>2128</v>
      </c>
      <c r="I1246" s="1">
        <v>4894</v>
      </c>
      <c r="J1246" s="1">
        <v>2300</v>
      </c>
    </row>
    <row r="1247" spans="1:10" x14ac:dyDescent="0.3">
      <c r="A1247" t="s">
        <v>197</v>
      </c>
      <c r="B1247" t="s">
        <v>18</v>
      </c>
      <c r="C1247" t="s">
        <v>193</v>
      </c>
      <c r="D1247" t="s">
        <v>75</v>
      </c>
      <c r="E1247">
        <v>86</v>
      </c>
      <c r="F1247">
        <v>77</v>
      </c>
      <c r="G1247" s="1">
        <v>111950</v>
      </c>
      <c r="H1247" s="1">
        <v>80087</v>
      </c>
      <c r="I1247" s="1">
        <v>184201</v>
      </c>
      <c r="J1247" s="1">
        <v>2300</v>
      </c>
    </row>
    <row r="1248" spans="1:10" x14ac:dyDescent="0.3">
      <c r="A1248" t="s">
        <v>197</v>
      </c>
      <c r="B1248" t="s">
        <v>17</v>
      </c>
      <c r="C1248" t="s">
        <v>193</v>
      </c>
      <c r="D1248" t="s">
        <v>75</v>
      </c>
      <c r="E1248">
        <v>86</v>
      </c>
      <c r="F1248">
        <v>77</v>
      </c>
      <c r="G1248" s="1">
        <v>56049</v>
      </c>
      <c r="H1248" s="1">
        <v>50444</v>
      </c>
      <c r="I1248" s="1">
        <v>136198</v>
      </c>
      <c r="J1248" s="1">
        <v>2700</v>
      </c>
    </row>
    <row r="1249" spans="1:10" x14ac:dyDescent="0.3">
      <c r="A1249" t="s">
        <v>197</v>
      </c>
      <c r="B1249" t="s">
        <v>14</v>
      </c>
      <c r="C1249" t="s">
        <v>193</v>
      </c>
      <c r="D1249" t="s">
        <v>75</v>
      </c>
      <c r="E1249">
        <v>86</v>
      </c>
      <c r="F1249">
        <v>77</v>
      </c>
      <c r="G1249" s="1">
        <v>112550</v>
      </c>
      <c r="H1249" s="1">
        <v>110652</v>
      </c>
      <c r="I1249" s="1">
        <v>431542</v>
      </c>
      <c r="J1249" s="1">
        <v>3900</v>
      </c>
    </row>
    <row r="1250" spans="1:10" x14ac:dyDescent="0.3">
      <c r="A1250" t="s">
        <v>197</v>
      </c>
      <c r="B1250" t="s">
        <v>12</v>
      </c>
      <c r="C1250" t="s">
        <v>193</v>
      </c>
      <c r="D1250" t="s">
        <v>75</v>
      </c>
      <c r="E1250">
        <v>86</v>
      </c>
      <c r="F1250">
        <v>77</v>
      </c>
      <c r="G1250" s="1">
        <v>35932</v>
      </c>
      <c r="H1250" s="1">
        <v>35932</v>
      </c>
      <c r="I1250" s="1">
        <v>97016</v>
      </c>
      <c r="J1250" s="1">
        <v>2700</v>
      </c>
    </row>
    <row r="1251" spans="1:10" x14ac:dyDescent="0.3">
      <c r="A1251" t="s">
        <v>197</v>
      </c>
      <c r="B1251" t="s">
        <v>9</v>
      </c>
      <c r="C1251" t="s">
        <v>193</v>
      </c>
      <c r="D1251" t="s">
        <v>75</v>
      </c>
      <c r="E1251">
        <v>86</v>
      </c>
      <c r="F1251">
        <v>77</v>
      </c>
      <c r="G1251" s="1">
        <v>134000</v>
      </c>
      <c r="H1251" s="1">
        <v>117110</v>
      </c>
      <c r="I1251" s="1">
        <v>401219</v>
      </c>
      <c r="J1251" s="1">
        <v>3426</v>
      </c>
    </row>
    <row r="1252" spans="1:10" x14ac:dyDescent="0.3">
      <c r="A1252" t="s">
        <v>197</v>
      </c>
      <c r="B1252" t="s">
        <v>8</v>
      </c>
      <c r="C1252" t="s">
        <v>193</v>
      </c>
      <c r="D1252" t="s">
        <v>75</v>
      </c>
      <c r="E1252">
        <v>86</v>
      </c>
      <c r="F1252">
        <v>77</v>
      </c>
      <c r="G1252" s="1">
        <v>69300</v>
      </c>
      <c r="H1252" s="1">
        <v>68760</v>
      </c>
      <c r="I1252" s="1">
        <v>226908</v>
      </c>
      <c r="J1252" s="1">
        <v>3300</v>
      </c>
    </row>
    <row r="1253" spans="1:10" x14ac:dyDescent="0.3">
      <c r="A1253" t="s">
        <v>197</v>
      </c>
      <c r="B1253" t="s">
        <v>7</v>
      </c>
      <c r="C1253" t="s">
        <v>193</v>
      </c>
      <c r="D1253" t="s">
        <v>75</v>
      </c>
      <c r="E1253">
        <v>86</v>
      </c>
      <c r="F1253">
        <v>77</v>
      </c>
      <c r="G1253" s="1">
        <v>69300</v>
      </c>
      <c r="H1253" s="1">
        <v>69300</v>
      </c>
      <c r="I1253" s="1">
        <v>277200</v>
      </c>
      <c r="J1253" s="1">
        <v>4000</v>
      </c>
    </row>
    <row r="1254" spans="1:10" x14ac:dyDescent="0.3">
      <c r="A1254" t="s">
        <v>197</v>
      </c>
      <c r="B1254" t="s">
        <v>6</v>
      </c>
      <c r="C1254" t="s">
        <v>193</v>
      </c>
      <c r="D1254" t="s">
        <v>75</v>
      </c>
      <c r="E1254">
        <v>86</v>
      </c>
      <c r="F1254">
        <v>77</v>
      </c>
      <c r="G1254" s="1">
        <v>69300</v>
      </c>
      <c r="H1254" s="1">
        <v>69300</v>
      </c>
      <c r="I1254" s="1">
        <v>221760</v>
      </c>
      <c r="J1254" s="1">
        <v>3200</v>
      </c>
    </row>
    <row r="1255" spans="1:10" x14ac:dyDescent="0.3">
      <c r="A1255" t="s">
        <v>197</v>
      </c>
      <c r="B1255" t="s">
        <v>5</v>
      </c>
      <c r="C1255" t="s">
        <v>193</v>
      </c>
      <c r="D1255" t="s">
        <v>75</v>
      </c>
      <c r="E1255">
        <v>86</v>
      </c>
      <c r="F1255">
        <v>77</v>
      </c>
      <c r="G1255" s="1">
        <v>127300</v>
      </c>
      <c r="H1255" s="1">
        <v>127300</v>
      </c>
      <c r="I1255" s="1">
        <v>338618</v>
      </c>
      <c r="J1255" s="1">
        <v>2660</v>
      </c>
    </row>
    <row r="1256" spans="1:10" x14ac:dyDescent="0.3">
      <c r="A1256" t="s">
        <v>197</v>
      </c>
      <c r="B1256" t="s">
        <v>4</v>
      </c>
      <c r="C1256" t="s">
        <v>193</v>
      </c>
      <c r="D1256" t="s">
        <v>75</v>
      </c>
      <c r="E1256">
        <v>86</v>
      </c>
      <c r="F1256">
        <v>77</v>
      </c>
      <c r="G1256" s="1">
        <v>129000</v>
      </c>
      <c r="H1256" s="1">
        <v>128050</v>
      </c>
      <c r="I1256" s="1">
        <v>371345</v>
      </c>
      <c r="J1256" s="1">
        <v>2900</v>
      </c>
    </row>
    <row r="1257" spans="1:10" x14ac:dyDescent="0.3">
      <c r="A1257" t="s">
        <v>197</v>
      </c>
      <c r="B1257" t="s">
        <v>3</v>
      </c>
      <c r="C1257" t="s">
        <v>193</v>
      </c>
      <c r="D1257" t="s">
        <v>75</v>
      </c>
      <c r="E1257">
        <v>86</v>
      </c>
      <c r="F1257">
        <v>77</v>
      </c>
      <c r="G1257" s="1">
        <v>166900</v>
      </c>
      <c r="H1257" s="1">
        <v>161110</v>
      </c>
      <c r="I1257" s="1">
        <v>542941</v>
      </c>
      <c r="J1257" s="1">
        <v>3370</v>
      </c>
    </row>
    <row r="1258" spans="1:10" x14ac:dyDescent="0.3">
      <c r="A1258" t="s">
        <v>197</v>
      </c>
      <c r="B1258" t="s">
        <v>18</v>
      </c>
      <c r="C1258" t="s">
        <v>193</v>
      </c>
      <c r="D1258" t="s">
        <v>54</v>
      </c>
      <c r="E1258">
        <v>86</v>
      </c>
      <c r="F1258">
        <v>84</v>
      </c>
      <c r="G1258" s="1">
        <v>4525</v>
      </c>
      <c r="H1258" s="1">
        <v>4525</v>
      </c>
      <c r="I1258" s="1">
        <v>11313</v>
      </c>
      <c r="J1258" s="1">
        <v>2500</v>
      </c>
    </row>
    <row r="1259" spans="1:10" x14ac:dyDescent="0.3">
      <c r="A1259" t="s">
        <v>197</v>
      </c>
      <c r="B1259" t="s">
        <v>17</v>
      </c>
      <c r="C1259" t="s">
        <v>193</v>
      </c>
      <c r="D1259" t="s">
        <v>54</v>
      </c>
      <c r="E1259">
        <v>86</v>
      </c>
      <c r="F1259">
        <v>84</v>
      </c>
      <c r="G1259" s="1">
        <v>4000</v>
      </c>
      <c r="H1259" s="1">
        <v>4000</v>
      </c>
      <c r="I1259" s="1">
        <v>9600</v>
      </c>
      <c r="J1259" s="1">
        <v>2400</v>
      </c>
    </row>
    <row r="1260" spans="1:10" x14ac:dyDescent="0.3">
      <c r="A1260" t="s">
        <v>197</v>
      </c>
      <c r="B1260" t="s">
        <v>14</v>
      </c>
      <c r="C1260" t="s">
        <v>193</v>
      </c>
      <c r="D1260" t="s">
        <v>54</v>
      </c>
      <c r="E1260">
        <v>86</v>
      </c>
      <c r="F1260">
        <v>84</v>
      </c>
      <c r="G1260" s="1">
        <v>2625</v>
      </c>
      <c r="H1260" s="1">
        <v>2625</v>
      </c>
      <c r="I1260" s="1">
        <v>7875</v>
      </c>
      <c r="J1260" s="1">
        <v>3000</v>
      </c>
    </row>
    <row r="1261" spans="1:10" x14ac:dyDescent="0.3">
      <c r="A1261" t="s">
        <v>197</v>
      </c>
      <c r="B1261" t="s">
        <v>12</v>
      </c>
      <c r="C1261" t="s">
        <v>193</v>
      </c>
      <c r="D1261" t="s">
        <v>54</v>
      </c>
      <c r="E1261">
        <v>86</v>
      </c>
      <c r="F1261">
        <v>84</v>
      </c>
      <c r="G1261" s="1">
        <v>2625</v>
      </c>
      <c r="H1261" s="1">
        <v>2625</v>
      </c>
      <c r="I1261" s="1">
        <v>6563</v>
      </c>
      <c r="J1261" s="1">
        <v>2500</v>
      </c>
    </row>
    <row r="1262" spans="1:10" x14ac:dyDescent="0.3">
      <c r="A1262" t="s">
        <v>197</v>
      </c>
      <c r="B1262" t="s">
        <v>9</v>
      </c>
      <c r="C1262" t="s">
        <v>193</v>
      </c>
      <c r="D1262" t="s">
        <v>54</v>
      </c>
      <c r="E1262">
        <v>86</v>
      </c>
      <c r="F1262">
        <v>84</v>
      </c>
      <c r="G1262" s="1">
        <v>5000</v>
      </c>
      <c r="H1262" s="1">
        <v>5000</v>
      </c>
      <c r="I1262" s="1">
        <v>17500</v>
      </c>
      <c r="J1262" s="1">
        <v>3500</v>
      </c>
    </row>
    <row r="1263" spans="1:10" x14ac:dyDescent="0.3">
      <c r="A1263" t="s">
        <v>197</v>
      </c>
      <c r="B1263" t="s">
        <v>8</v>
      </c>
      <c r="C1263" t="s">
        <v>193</v>
      </c>
      <c r="D1263" t="s">
        <v>54</v>
      </c>
      <c r="E1263">
        <v>86</v>
      </c>
      <c r="F1263">
        <v>84</v>
      </c>
      <c r="G1263" s="1">
        <v>3500</v>
      </c>
      <c r="H1263" s="1">
        <v>3500</v>
      </c>
      <c r="I1263" s="1">
        <v>10500</v>
      </c>
      <c r="J1263" s="1">
        <v>3000</v>
      </c>
    </row>
    <row r="1264" spans="1:10" x14ac:dyDescent="0.3">
      <c r="A1264" t="s">
        <v>197</v>
      </c>
      <c r="B1264" t="s">
        <v>7</v>
      </c>
      <c r="C1264" t="s">
        <v>193</v>
      </c>
      <c r="D1264" t="s">
        <v>54</v>
      </c>
      <c r="E1264">
        <v>86</v>
      </c>
      <c r="F1264">
        <v>84</v>
      </c>
      <c r="G1264" s="1">
        <v>3500</v>
      </c>
      <c r="H1264" s="1">
        <v>3500</v>
      </c>
      <c r="I1264" s="1">
        <v>10500</v>
      </c>
      <c r="J1264" s="1">
        <v>3000</v>
      </c>
    </row>
    <row r="1265" spans="1:10" x14ac:dyDescent="0.3">
      <c r="A1265" t="s">
        <v>197</v>
      </c>
      <c r="B1265" t="s">
        <v>6</v>
      </c>
      <c r="C1265" t="s">
        <v>193</v>
      </c>
      <c r="D1265" t="s">
        <v>54</v>
      </c>
      <c r="E1265">
        <v>86</v>
      </c>
      <c r="F1265">
        <v>84</v>
      </c>
      <c r="G1265" s="1">
        <v>3500</v>
      </c>
      <c r="H1265" s="1">
        <v>3500</v>
      </c>
      <c r="I1265" s="1">
        <v>8750</v>
      </c>
      <c r="J1265" s="1">
        <v>2500</v>
      </c>
    </row>
    <row r="1266" spans="1:10" x14ac:dyDescent="0.3">
      <c r="A1266" t="s">
        <v>197</v>
      </c>
      <c r="B1266" t="s">
        <v>5</v>
      </c>
      <c r="C1266" t="s">
        <v>193</v>
      </c>
      <c r="D1266" t="s">
        <v>54</v>
      </c>
      <c r="E1266">
        <v>86</v>
      </c>
      <c r="F1266">
        <v>84</v>
      </c>
      <c r="G1266" s="1">
        <v>4000</v>
      </c>
      <c r="H1266" s="1">
        <v>4000</v>
      </c>
      <c r="I1266" s="1">
        <v>6000</v>
      </c>
      <c r="J1266" s="1">
        <v>1500</v>
      </c>
    </row>
    <row r="1267" spans="1:10" x14ac:dyDescent="0.3">
      <c r="A1267" t="s">
        <v>197</v>
      </c>
      <c r="B1267" t="s">
        <v>4</v>
      </c>
      <c r="C1267" t="s">
        <v>193</v>
      </c>
      <c r="D1267" t="s">
        <v>54</v>
      </c>
      <c r="E1267">
        <v>86</v>
      </c>
      <c r="F1267">
        <v>84</v>
      </c>
      <c r="G1267" s="1">
        <v>5000</v>
      </c>
      <c r="H1267" s="1">
        <v>4970</v>
      </c>
      <c r="I1267" s="1">
        <v>17892</v>
      </c>
      <c r="J1267" s="1">
        <v>3600</v>
      </c>
    </row>
    <row r="1268" spans="1:10" x14ac:dyDescent="0.3">
      <c r="A1268" t="s">
        <v>197</v>
      </c>
      <c r="B1268" t="s">
        <v>3</v>
      </c>
      <c r="C1268" t="s">
        <v>193</v>
      </c>
      <c r="D1268" t="s">
        <v>54</v>
      </c>
      <c r="E1268">
        <v>86</v>
      </c>
      <c r="F1268">
        <v>84</v>
      </c>
      <c r="G1268" s="1">
        <v>4400</v>
      </c>
      <c r="H1268" s="1">
        <v>4325</v>
      </c>
      <c r="I1268" s="1">
        <v>12543</v>
      </c>
      <c r="J1268" s="1">
        <v>2900</v>
      </c>
    </row>
    <row r="1269" spans="1:10" x14ac:dyDescent="0.3">
      <c r="A1269" t="s">
        <v>197</v>
      </c>
      <c r="B1269" t="s">
        <v>18</v>
      </c>
      <c r="C1269" t="s">
        <v>193</v>
      </c>
      <c r="D1269" t="s">
        <v>70</v>
      </c>
      <c r="E1269">
        <v>86</v>
      </c>
      <c r="F1269">
        <v>91</v>
      </c>
      <c r="G1269" s="1">
        <v>39250</v>
      </c>
      <c r="H1269" s="1">
        <v>38627</v>
      </c>
      <c r="I1269" s="1">
        <v>104293</v>
      </c>
      <c r="J1269" s="1">
        <v>2700</v>
      </c>
    </row>
    <row r="1270" spans="1:10" x14ac:dyDescent="0.3">
      <c r="A1270" t="s">
        <v>197</v>
      </c>
      <c r="B1270" t="s">
        <v>17</v>
      </c>
      <c r="C1270" t="s">
        <v>193</v>
      </c>
      <c r="D1270" t="s">
        <v>70</v>
      </c>
      <c r="E1270">
        <v>86</v>
      </c>
      <c r="F1270">
        <v>91</v>
      </c>
      <c r="G1270" s="1">
        <v>21311</v>
      </c>
      <c r="H1270" s="1">
        <v>21311</v>
      </c>
      <c r="I1270" s="1">
        <v>61802</v>
      </c>
      <c r="J1270" s="1">
        <v>2900</v>
      </c>
    </row>
    <row r="1271" spans="1:10" x14ac:dyDescent="0.3">
      <c r="A1271" t="s">
        <v>197</v>
      </c>
      <c r="B1271" t="s">
        <v>14</v>
      </c>
      <c r="C1271" t="s">
        <v>193</v>
      </c>
      <c r="D1271" t="s">
        <v>70</v>
      </c>
      <c r="E1271">
        <v>86</v>
      </c>
      <c r="F1271">
        <v>91</v>
      </c>
      <c r="G1271" s="1">
        <v>17377</v>
      </c>
      <c r="H1271" s="1">
        <v>17377</v>
      </c>
      <c r="I1271" s="1">
        <v>60821</v>
      </c>
      <c r="J1271" s="1">
        <v>3500</v>
      </c>
    </row>
    <row r="1272" spans="1:10" x14ac:dyDescent="0.3">
      <c r="A1272" t="s">
        <v>197</v>
      </c>
      <c r="B1272" t="s">
        <v>12</v>
      </c>
      <c r="C1272" t="s">
        <v>193</v>
      </c>
      <c r="D1272" t="s">
        <v>70</v>
      </c>
      <c r="E1272">
        <v>86</v>
      </c>
      <c r="F1272">
        <v>91</v>
      </c>
      <c r="G1272" s="1">
        <v>12674</v>
      </c>
      <c r="H1272" s="1">
        <v>12674</v>
      </c>
      <c r="I1272" s="1">
        <v>38022</v>
      </c>
      <c r="J1272" s="1">
        <v>3000</v>
      </c>
    </row>
    <row r="1273" spans="1:10" x14ac:dyDescent="0.3">
      <c r="A1273" t="s">
        <v>197</v>
      </c>
      <c r="B1273" t="s">
        <v>9</v>
      </c>
      <c r="C1273" t="s">
        <v>193</v>
      </c>
      <c r="D1273" t="s">
        <v>70</v>
      </c>
      <c r="E1273">
        <v>86</v>
      </c>
      <c r="F1273">
        <v>91</v>
      </c>
      <c r="G1273" s="1">
        <v>58000</v>
      </c>
      <c r="H1273" s="1">
        <v>58000</v>
      </c>
      <c r="I1273" s="1">
        <v>208800</v>
      </c>
      <c r="J1273" s="1">
        <v>3600</v>
      </c>
    </row>
    <row r="1274" spans="1:10" x14ac:dyDescent="0.3">
      <c r="A1274" t="s">
        <v>197</v>
      </c>
      <c r="B1274" t="s">
        <v>8</v>
      </c>
      <c r="C1274" t="s">
        <v>193</v>
      </c>
      <c r="D1274" t="s">
        <v>70</v>
      </c>
      <c r="E1274">
        <v>86</v>
      </c>
      <c r="F1274">
        <v>91</v>
      </c>
      <c r="G1274" s="1">
        <v>40000</v>
      </c>
      <c r="H1274" s="1">
        <v>40000</v>
      </c>
      <c r="I1274" s="1">
        <v>120000</v>
      </c>
      <c r="J1274" s="1">
        <v>3000</v>
      </c>
    </row>
    <row r="1275" spans="1:10" x14ac:dyDescent="0.3">
      <c r="A1275" t="s">
        <v>197</v>
      </c>
      <c r="B1275" t="s">
        <v>7</v>
      </c>
      <c r="C1275" t="s">
        <v>193</v>
      </c>
      <c r="D1275" t="s">
        <v>70</v>
      </c>
      <c r="E1275">
        <v>86</v>
      </c>
      <c r="F1275">
        <v>91</v>
      </c>
      <c r="G1275" s="1">
        <v>40000</v>
      </c>
      <c r="H1275" s="1">
        <v>40000</v>
      </c>
      <c r="I1275" s="1">
        <v>140000</v>
      </c>
      <c r="J1275" s="1">
        <v>3500</v>
      </c>
    </row>
    <row r="1276" spans="1:10" x14ac:dyDescent="0.3">
      <c r="A1276" t="s">
        <v>197</v>
      </c>
      <c r="B1276" t="s">
        <v>6</v>
      </c>
      <c r="C1276" t="s">
        <v>193</v>
      </c>
      <c r="D1276" t="s">
        <v>70</v>
      </c>
      <c r="E1276">
        <v>86</v>
      </c>
      <c r="F1276">
        <v>91</v>
      </c>
      <c r="G1276" s="1">
        <v>45000</v>
      </c>
      <c r="H1276" s="1">
        <v>45000</v>
      </c>
      <c r="I1276" s="1">
        <v>112500</v>
      </c>
      <c r="J1276" s="1">
        <v>2500</v>
      </c>
    </row>
    <row r="1277" spans="1:10" x14ac:dyDescent="0.3">
      <c r="A1277" t="s">
        <v>197</v>
      </c>
      <c r="B1277" t="s">
        <v>5</v>
      </c>
      <c r="C1277" t="s">
        <v>193</v>
      </c>
      <c r="D1277" t="s">
        <v>70</v>
      </c>
      <c r="E1277">
        <v>86</v>
      </c>
      <c r="F1277">
        <v>91</v>
      </c>
      <c r="G1277" s="1">
        <v>45000</v>
      </c>
      <c r="H1277" s="1">
        <v>45000</v>
      </c>
      <c r="I1277" s="1">
        <v>67500</v>
      </c>
      <c r="J1277" s="1">
        <v>1500</v>
      </c>
    </row>
    <row r="1278" spans="1:10" x14ac:dyDescent="0.3">
      <c r="A1278" t="s">
        <v>197</v>
      </c>
      <c r="B1278" t="s">
        <v>4</v>
      </c>
      <c r="C1278" t="s">
        <v>193</v>
      </c>
      <c r="D1278" t="s">
        <v>70</v>
      </c>
      <c r="E1278">
        <v>86</v>
      </c>
      <c r="F1278">
        <v>91</v>
      </c>
      <c r="G1278" s="1">
        <v>45000</v>
      </c>
      <c r="H1278" s="1">
        <v>44910</v>
      </c>
      <c r="I1278" s="1">
        <v>160239</v>
      </c>
      <c r="J1278" s="1">
        <v>3568</v>
      </c>
    </row>
    <row r="1279" spans="1:10" x14ac:dyDescent="0.3">
      <c r="A1279" t="s">
        <v>197</v>
      </c>
      <c r="B1279" t="s">
        <v>3</v>
      </c>
      <c r="C1279" t="s">
        <v>193</v>
      </c>
      <c r="D1279" t="s">
        <v>70</v>
      </c>
      <c r="E1279">
        <v>86</v>
      </c>
      <c r="F1279">
        <v>91</v>
      </c>
      <c r="G1279" s="1">
        <v>49500</v>
      </c>
      <c r="H1279" s="1">
        <v>49350</v>
      </c>
      <c r="I1279" s="1">
        <v>143115</v>
      </c>
      <c r="J1279" s="1">
        <v>2900</v>
      </c>
    </row>
    <row r="1280" spans="1:10" x14ac:dyDescent="0.3">
      <c r="A1280" t="s">
        <v>197</v>
      </c>
      <c r="B1280" t="s">
        <v>18</v>
      </c>
      <c r="C1280" t="s">
        <v>193</v>
      </c>
      <c r="D1280" t="s">
        <v>69</v>
      </c>
      <c r="E1280">
        <v>86</v>
      </c>
      <c r="F1280">
        <v>98</v>
      </c>
      <c r="G1280" s="1">
        <v>45500</v>
      </c>
      <c r="H1280" s="1">
        <v>45086</v>
      </c>
      <c r="I1280" s="1">
        <v>130750</v>
      </c>
      <c r="J1280" s="1">
        <v>2900</v>
      </c>
    </row>
    <row r="1281" spans="1:10" x14ac:dyDescent="0.3">
      <c r="A1281" t="s">
        <v>197</v>
      </c>
      <c r="B1281" t="s">
        <v>17</v>
      </c>
      <c r="C1281" t="s">
        <v>193</v>
      </c>
      <c r="D1281" t="s">
        <v>69</v>
      </c>
      <c r="E1281">
        <v>86</v>
      </c>
      <c r="F1281">
        <v>98</v>
      </c>
      <c r="G1281" s="1">
        <v>47704</v>
      </c>
      <c r="H1281" s="1">
        <v>42500</v>
      </c>
      <c r="I1281" s="1">
        <v>110500</v>
      </c>
      <c r="J1281" s="1">
        <v>2600</v>
      </c>
    </row>
    <row r="1282" spans="1:10" x14ac:dyDescent="0.3">
      <c r="A1282" t="s">
        <v>197</v>
      </c>
      <c r="B1282" t="s">
        <v>14</v>
      </c>
      <c r="C1282" t="s">
        <v>193</v>
      </c>
      <c r="D1282" t="s">
        <v>69</v>
      </c>
      <c r="E1282">
        <v>86</v>
      </c>
      <c r="F1282">
        <v>98</v>
      </c>
      <c r="G1282" s="1">
        <v>63390</v>
      </c>
      <c r="H1282" s="1">
        <v>63145</v>
      </c>
      <c r="I1282" s="1">
        <v>221008</v>
      </c>
      <c r="J1282" s="1">
        <v>3500</v>
      </c>
    </row>
    <row r="1283" spans="1:10" x14ac:dyDescent="0.3">
      <c r="A1283" t="s">
        <v>197</v>
      </c>
      <c r="B1283" t="s">
        <v>12</v>
      </c>
      <c r="C1283" t="s">
        <v>193</v>
      </c>
      <c r="D1283" t="s">
        <v>69</v>
      </c>
      <c r="E1283">
        <v>86</v>
      </c>
      <c r="F1283">
        <v>98</v>
      </c>
      <c r="G1283" s="1">
        <v>64135</v>
      </c>
      <c r="H1283" s="1">
        <v>63213</v>
      </c>
      <c r="I1283" s="1">
        <v>132747</v>
      </c>
      <c r="J1283" s="1">
        <v>2100</v>
      </c>
    </row>
    <row r="1284" spans="1:10" x14ac:dyDescent="0.3">
      <c r="A1284" t="s">
        <v>197</v>
      </c>
      <c r="B1284" t="s">
        <v>9</v>
      </c>
      <c r="C1284" t="s">
        <v>193</v>
      </c>
      <c r="D1284" t="s">
        <v>69</v>
      </c>
      <c r="E1284">
        <v>86</v>
      </c>
      <c r="F1284">
        <v>98</v>
      </c>
      <c r="G1284" s="1">
        <v>55800</v>
      </c>
      <c r="H1284" s="1">
        <v>54570</v>
      </c>
      <c r="I1284" s="1">
        <v>180081</v>
      </c>
      <c r="J1284" s="1">
        <v>3300</v>
      </c>
    </row>
    <row r="1285" spans="1:10" x14ac:dyDescent="0.3">
      <c r="A1285" t="s">
        <v>197</v>
      </c>
      <c r="B1285" t="s">
        <v>8</v>
      </c>
      <c r="C1285" t="s">
        <v>193</v>
      </c>
      <c r="D1285" t="s">
        <v>69</v>
      </c>
      <c r="E1285">
        <v>86</v>
      </c>
      <c r="F1285">
        <v>98</v>
      </c>
      <c r="G1285" s="1">
        <v>44000</v>
      </c>
      <c r="H1285" s="1">
        <v>43710</v>
      </c>
      <c r="I1285" s="1">
        <v>144243</v>
      </c>
      <c r="J1285" s="1">
        <v>3300</v>
      </c>
    </row>
    <row r="1286" spans="1:10" x14ac:dyDescent="0.3">
      <c r="A1286" t="s">
        <v>197</v>
      </c>
      <c r="B1286" t="s">
        <v>7</v>
      </c>
      <c r="C1286" t="s">
        <v>193</v>
      </c>
      <c r="D1286" t="s">
        <v>69</v>
      </c>
      <c r="E1286">
        <v>86</v>
      </c>
      <c r="F1286">
        <v>98</v>
      </c>
      <c r="G1286" s="1">
        <v>59500</v>
      </c>
      <c r="H1286" s="1">
        <v>59500</v>
      </c>
      <c r="I1286" s="1">
        <v>208250</v>
      </c>
      <c r="J1286" s="1">
        <v>3500</v>
      </c>
    </row>
    <row r="1287" spans="1:10" x14ac:dyDescent="0.3">
      <c r="A1287" t="s">
        <v>197</v>
      </c>
      <c r="B1287" t="s">
        <v>6</v>
      </c>
      <c r="C1287" t="s">
        <v>193</v>
      </c>
      <c r="D1287" t="s">
        <v>69</v>
      </c>
      <c r="E1287">
        <v>86</v>
      </c>
      <c r="F1287">
        <v>98</v>
      </c>
      <c r="G1287" s="1">
        <v>59500</v>
      </c>
      <c r="H1287" s="1">
        <v>59500</v>
      </c>
      <c r="I1287" s="1">
        <v>196350</v>
      </c>
      <c r="J1287" s="1">
        <v>3300</v>
      </c>
    </row>
    <row r="1288" spans="1:10" x14ac:dyDescent="0.3">
      <c r="A1288" t="s">
        <v>197</v>
      </c>
      <c r="B1288" t="s">
        <v>5</v>
      </c>
      <c r="C1288" t="s">
        <v>193</v>
      </c>
      <c r="D1288" t="s">
        <v>69</v>
      </c>
      <c r="E1288">
        <v>86</v>
      </c>
      <c r="F1288">
        <v>98</v>
      </c>
      <c r="G1288" s="1">
        <v>68500</v>
      </c>
      <c r="H1288" s="1">
        <v>68500</v>
      </c>
      <c r="I1288" s="1">
        <v>191800</v>
      </c>
      <c r="J1288" s="1">
        <v>2800</v>
      </c>
    </row>
    <row r="1289" spans="1:10" x14ac:dyDescent="0.3">
      <c r="A1289" t="s">
        <v>197</v>
      </c>
      <c r="B1289" t="s">
        <v>4</v>
      </c>
      <c r="C1289" t="s">
        <v>193</v>
      </c>
      <c r="D1289" t="s">
        <v>69</v>
      </c>
      <c r="E1289">
        <v>86</v>
      </c>
      <c r="F1289">
        <v>98</v>
      </c>
      <c r="G1289" s="1">
        <v>63200</v>
      </c>
      <c r="H1289" s="1">
        <v>62720</v>
      </c>
      <c r="I1289" s="1">
        <v>181888</v>
      </c>
      <c r="J1289" s="1">
        <v>2900</v>
      </c>
    </row>
    <row r="1290" spans="1:10" x14ac:dyDescent="0.3">
      <c r="A1290" t="s">
        <v>197</v>
      </c>
      <c r="B1290" t="s">
        <v>3</v>
      </c>
      <c r="C1290" t="s">
        <v>193</v>
      </c>
      <c r="D1290" t="s">
        <v>69</v>
      </c>
      <c r="E1290">
        <v>86</v>
      </c>
      <c r="F1290">
        <v>98</v>
      </c>
      <c r="G1290" s="1">
        <v>83100</v>
      </c>
      <c r="H1290" s="1">
        <v>77644</v>
      </c>
      <c r="I1290" s="1">
        <v>183240</v>
      </c>
      <c r="J1290" s="1">
        <v>2360</v>
      </c>
    </row>
    <row r="1291" spans="1:10" x14ac:dyDescent="0.3">
      <c r="A1291" t="s">
        <v>197</v>
      </c>
      <c r="B1291" t="s">
        <v>18</v>
      </c>
      <c r="C1291" t="s">
        <v>193</v>
      </c>
      <c r="D1291" t="s">
        <v>31</v>
      </c>
      <c r="E1291">
        <v>86</v>
      </c>
      <c r="F1291">
        <v>105</v>
      </c>
      <c r="G1291" s="1">
        <v>1500</v>
      </c>
      <c r="H1291" s="1">
        <v>1500</v>
      </c>
      <c r="I1291" s="1">
        <v>3300</v>
      </c>
      <c r="J1291" s="1">
        <v>2200</v>
      </c>
    </row>
    <row r="1292" spans="1:10" x14ac:dyDescent="0.3">
      <c r="A1292" t="s">
        <v>197</v>
      </c>
      <c r="B1292" t="s">
        <v>17</v>
      </c>
      <c r="C1292" t="s">
        <v>193</v>
      </c>
      <c r="D1292" t="s">
        <v>31</v>
      </c>
      <c r="E1292">
        <v>86</v>
      </c>
      <c r="F1292">
        <v>105</v>
      </c>
      <c r="G1292" s="1">
        <v>1500</v>
      </c>
      <c r="H1292" s="1">
        <v>1500</v>
      </c>
      <c r="I1292" s="1">
        <v>3600</v>
      </c>
      <c r="J1292" s="1">
        <v>2400</v>
      </c>
    </row>
    <row r="1293" spans="1:10" x14ac:dyDescent="0.3">
      <c r="A1293" t="s">
        <v>197</v>
      </c>
      <c r="B1293" t="s">
        <v>14</v>
      </c>
      <c r="C1293" t="s">
        <v>193</v>
      </c>
      <c r="D1293" t="s">
        <v>31</v>
      </c>
      <c r="E1293">
        <v>86</v>
      </c>
      <c r="F1293">
        <v>105</v>
      </c>
      <c r="G1293" s="1">
        <v>2000</v>
      </c>
      <c r="H1293" s="1">
        <v>2000</v>
      </c>
      <c r="I1293" s="1">
        <v>6000</v>
      </c>
      <c r="J1293" s="1">
        <v>3000</v>
      </c>
    </row>
    <row r="1294" spans="1:10" x14ac:dyDescent="0.3">
      <c r="A1294" t="s">
        <v>197</v>
      </c>
      <c r="B1294" t="s">
        <v>12</v>
      </c>
      <c r="C1294" t="s">
        <v>193</v>
      </c>
      <c r="D1294" t="s">
        <v>31</v>
      </c>
      <c r="E1294">
        <v>86</v>
      </c>
      <c r="F1294">
        <v>105</v>
      </c>
      <c r="G1294" s="1">
        <v>1360</v>
      </c>
      <c r="H1294" s="1">
        <v>1360</v>
      </c>
      <c r="I1294" s="1">
        <v>3400</v>
      </c>
      <c r="J1294" s="1">
        <v>2500</v>
      </c>
    </row>
    <row r="1295" spans="1:10" x14ac:dyDescent="0.3">
      <c r="A1295" t="s">
        <v>197</v>
      </c>
      <c r="B1295" t="s">
        <v>9</v>
      </c>
      <c r="C1295" t="s">
        <v>193</v>
      </c>
      <c r="D1295" t="s">
        <v>31</v>
      </c>
      <c r="E1295">
        <v>86</v>
      </c>
      <c r="F1295">
        <v>105</v>
      </c>
      <c r="G1295" s="1">
        <v>2500</v>
      </c>
      <c r="H1295" s="1">
        <v>2500</v>
      </c>
      <c r="I1295" s="1">
        <v>8750</v>
      </c>
      <c r="J1295" s="1">
        <v>3500</v>
      </c>
    </row>
    <row r="1296" spans="1:10" x14ac:dyDescent="0.3">
      <c r="A1296" t="s">
        <v>197</v>
      </c>
      <c r="B1296" t="s">
        <v>8</v>
      </c>
      <c r="C1296" t="s">
        <v>193</v>
      </c>
      <c r="D1296" t="s">
        <v>31</v>
      </c>
      <c r="E1296">
        <v>86</v>
      </c>
      <c r="F1296">
        <v>105</v>
      </c>
      <c r="G1296" s="1">
        <v>1500</v>
      </c>
      <c r="H1296" s="1">
        <v>1500</v>
      </c>
      <c r="I1296" s="1">
        <v>4500</v>
      </c>
      <c r="J1296" s="1">
        <v>3000</v>
      </c>
    </row>
    <row r="1297" spans="1:10" x14ac:dyDescent="0.3">
      <c r="A1297" t="s">
        <v>197</v>
      </c>
      <c r="B1297" t="s">
        <v>7</v>
      </c>
      <c r="C1297" t="s">
        <v>193</v>
      </c>
      <c r="D1297" t="s">
        <v>31</v>
      </c>
      <c r="E1297">
        <v>86</v>
      </c>
      <c r="F1297">
        <v>105</v>
      </c>
      <c r="G1297" s="1">
        <v>1500</v>
      </c>
      <c r="H1297" s="1">
        <v>1500</v>
      </c>
      <c r="I1297" s="1">
        <v>4500</v>
      </c>
      <c r="J1297" s="1">
        <v>3000</v>
      </c>
    </row>
    <row r="1298" spans="1:10" x14ac:dyDescent="0.3">
      <c r="A1298" t="s">
        <v>197</v>
      </c>
      <c r="B1298" t="s">
        <v>6</v>
      </c>
      <c r="C1298" t="s">
        <v>193</v>
      </c>
      <c r="D1298" t="s">
        <v>31</v>
      </c>
      <c r="E1298">
        <v>86</v>
      </c>
      <c r="F1298">
        <v>105</v>
      </c>
      <c r="G1298" s="1">
        <v>1500</v>
      </c>
      <c r="H1298" s="1">
        <v>1500</v>
      </c>
      <c r="I1298" s="1">
        <v>3750</v>
      </c>
      <c r="J1298" s="1">
        <v>2500</v>
      </c>
    </row>
    <row r="1299" spans="1:10" x14ac:dyDescent="0.3">
      <c r="A1299" t="s">
        <v>197</v>
      </c>
      <c r="B1299" t="s">
        <v>5</v>
      </c>
      <c r="C1299" t="s">
        <v>193</v>
      </c>
      <c r="D1299" t="s">
        <v>31</v>
      </c>
      <c r="E1299">
        <v>86</v>
      </c>
      <c r="F1299">
        <v>105</v>
      </c>
      <c r="G1299" s="1">
        <v>2000</v>
      </c>
      <c r="H1299" s="1">
        <v>2000</v>
      </c>
      <c r="I1299" s="1">
        <v>3000</v>
      </c>
      <c r="J1299" s="1">
        <v>1500</v>
      </c>
    </row>
    <row r="1300" spans="1:10" x14ac:dyDescent="0.3">
      <c r="A1300" t="s">
        <v>197</v>
      </c>
      <c r="B1300" t="s">
        <v>4</v>
      </c>
      <c r="C1300" t="s">
        <v>193</v>
      </c>
      <c r="D1300" t="s">
        <v>31</v>
      </c>
      <c r="E1300">
        <v>86</v>
      </c>
      <c r="F1300">
        <v>105</v>
      </c>
      <c r="G1300" s="1">
        <v>2000</v>
      </c>
      <c r="H1300" s="1">
        <v>1970</v>
      </c>
      <c r="I1300" s="1">
        <v>7033</v>
      </c>
      <c r="J1300" s="1">
        <v>3570</v>
      </c>
    </row>
    <row r="1301" spans="1:10" x14ac:dyDescent="0.3">
      <c r="A1301" t="s">
        <v>197</v>
      </c>
      <c r="B1301" t="s">
        <v>3</v>
      </c>
      <c r="C1301" t="s">
        <v>193</v>
      </c>
      <c r="D1301" t="s">
        <v>31</v>
      </c>
      <c r="E1301">
        <v>86</v>
      </c>
      <c r="F1301">
        <v>105</v>
      </c>
      <c r="G1301" s="1">
        <v>2200</v>
      </c>
      <c r="H1301" s="1">
        <v>2140</v>
      </c>
      <c r="I1301" s="1">
        <v>5992</v>
      </c>
      <c r="J1301" s="1">
        <v>2800</v>
      </c>
    </row>
    <row r="1302" spans="1:10" x14ac:dyDescent="0.3">
      <c r="A1302" t="s">
        <v>197</v>
      </c>
      <c r="B1302" t="s">
        <v>18</v>
      </c>
      <c r="C1302" t="s">
        <v>193</v>
      </c>
      <c r="D1302" t="s">
        <v>56</v>
      </c>
      <c r="E1302">
        <v>86</v>
      </c>
      <c r="F1302">
        <v>112</v>
      </c>
      <c r="G1302" s="1">
        <v>17625</v>
      </c>
      <c r="H1302" s="1">
        <v>17184</v>
      </c>
      <c r="I1302" s="1">
        <v>41243</v>
      </c>
      <c r="J1302" s="1">
        <v>2400</v>
      </c>
    </row>
    <row r="1303" spans="1:10" x14ac:dyDescent="0.3">
      <c r="A1303" t="s">
        <v>197</v>
      </c>
      <c r="B1303" t="s">
        <v>17</v>
      </c>
      <c r="C1303" t="s">
        <v>193</v>
      </c>
      <c r="D1303" t="s">
        <v>56</v>
      </c>
      <c r="E1303">
        <v>86</v>
      </c>
      <c r="F1303">
        <v>112</v>
      </c>
      <c r="G1303" s="1">
        <v>12150</v>
      </c>
      <c r="H1303" s="1">
        <v>12150</v>
      </c>
      <c r="I1303" s="1">
        <v>32805</v>
      </c>
      <c r="J1303" s="1">
        <v>2700</v>
      </c>
    </row>
    <row r="1304" spans="1:10" x14ac:dyDescent="0.3">
      <c r="A1304" t="s">
        <v>197</v>
      </c>
      <c r="B1304" t="s">
        <v>14</v>
      </c>
      <c r="C1304" t="s">
        <v>193</v>
      </c>
      <c r="D1304" t="s">
        <v>56</v>
      </c>
      <c r="E1304">
        <v>86</v>
      </c>
      <c r="F1304">
        <v>112</v>
      </c>
      <c r="G1304" s="1">
        <v>10250</v>
      </c>
      <c r="H1304" s="1">
        <v>10250</v>
      </c>
      <c r="I1304" s="1">
        <v>35875</v>
      </c>
      <c r="J1304" s="1">
        <v>3500</v>
      </c>
    </row>
    <row r="1305" spans="1:10" x14ac:dyDescent="0.3">
      <c r="A1305" t="s">
        <v>197</v>
      </c>
      <c r="B1305" t="s">
        <v>12</v>
      </c>
      <c r="C1305" t="s">
        <v>193</v>
      </c>
      <c r="D1305" t="s">
        <v>56</v>
      </c>
      <c r="E1305">
        <v>86</v>
      </c>
      <c r="F1305">
        <v>112</v>
      </c>
      <c r="G1305" s="1">
        <v>8350</v>
      </c>
      <c r="H1305" s="1">
        <v>8350</v>
      </c>
      <c r="I1305" s="1">
        <v>12525</v>
      </c>
      <c r="J1305" s="1">
        <v>1500</v>
      </c>
    </row>
    <row r="1306" spans="1:10" x14ac:dyDescent="0.3">
      <c r="A1306" t="s">
        <v>197</v>
      </c>
      <c r="B1306" t="s">
        <v>9</v>
      </c>
      <c r="C1306" t="s">
        <v>193</v>
      </c>
      <c r="D1306" t="s">
        <v>56</v>
      </c>
      <c r="E1306">
        <v>86</v>
      </c>
      <c r="F1306">
        <v>112</v>
      </c>
      <c r="G1306" s="1">
        <v>12000</v>
      </c>
      <c r="H1306" s="1">
        <v>12000</v>
      </c>
      <c r="I1306" s="1">
        <v>42000</v>
      </c>
      <c r="J1306" s="1">
        <v>3500</v>
      </c>
    </row>
    <row r="1307" spans="1:10" x14ac:dyDescent="0.3">
      <c r="A1307" t="s">
        <v>197</v>
      </c>
      <c r="B1307" t="s">
        <v>8</v>
      </c>
      <c r="C1307" t="s">
        <v>193</v>
      </c>
      <c r="D1307" t="s">
        <v>56</v>
      </c>
      <c r="E1307">
        <v>86</v>
      </c>
      <c r="F1307">
        <v>112</v>
      </c>
      <c r="G1307" s="1">
        <v>9000</v>
      </c>
      <c r="H1307" s="1">
        <v>9000</v>
      </c>
      <c r="I1307" s="1">
        <v>27000</v>
      </c>
      <c r="J1307" s="1">
        <v>3000</v>
      </c>
    </row>
    <row r="1308" spans="1:10" x14ac:dyDescent="0.3">
      <c r="A1308" t="s">
        <v>197</v>
      </c>
      <c r="B1308" t="s">
        <v>7</v>
      </c>
      <c r="C1308" t="s">
        <v>193</v>
      </c>
      <c r="D1308" t="s">
        <v>56</v>
      </c>
      <c r="E1308">
        <v>86</v>
      </c>
      <c r="F1308">
        <v>112</v>
      </c>
      <c r="G1308" s="1">
        <v>9000</v>
      </c>
      <c r="H1308" s="1">
        <v>9000</v>
      </c>
      <c r="I1308" s="1">
        <v>27000</v>
      </c>
      <c r="J1308" s="1">
        <v>3000</v>
      </c>
    </row>
    <row r="1309" spans="1:10" x14ac:dyDescent="0.3">
      <c r="A1309" t="s">
        <v>197</v>
      </c>
      <c r="B1309" t="s">
        <v>6</v>
      </c>
      <c r="C1309" t="s">
        <v>193</v>
      </c>
      <c r="D1309" t="s">
        <v>56</v>
      </c>
      <c r="E1309">
        <v>86</v>
      </c>
      <c r="F1309">
        <v>112</v>
      </c>
      <c r="G1309" s="1">
        <v>9000</v>
      </c>
      <c r="H1309" s="1">
        <v>9000</v>
      </c>
      <c r="I1309" s="1">
        <v>22500</v>
      </c>
      <c r="J1309" s="1">
        <v>2500</v>
      </c>
    </row>
    <row r="1310" spans="1:10" x14ac:dyDescent="0.3">
      <c r="A1310" t="s">
        <v>197</v>
      </c>
      <c r="B1310" t="s">
        <v>5</v>
      </c>
      <c r="C1310" t="s">
        <v>193</v>
      </c>
      <c r="D1310" t="s">
        <v>56</v>
      </c>
      <c r="E1310">
        <v>86</v>
      </c>
      <c r="F1310">
        <v>112</v>
      </c>
      <c r="G1310" s="1">
        <v>10000</v>
      </c>
      <c r="H1310" s="1">
        <v>10000</v>
      </c>
      <c r="I1310" s="1">
        <v>15000</v>
      </c>
      <c r="J1310" s="1">
        <v>1500</v>
      </c>
    </row>
    <row r="1311" spans="1:10" x14ac:dyDescent="0.3">
      <c r="A1311" t="s">
        <v>197</v>
      </c>
      <c r="B1311" t="s">
        <v>4</v>
      </c>
      <c r="C1311" t="s">
        <v>193</v>
      </c>
      <c r="D1311" t="s">
        <v>56</v>
      </c>
      <c r="E1311">
        <v>86</v>
      </c>
      <c r="F1311">
        <v>112</v>
      </c>
      <c r="G1311" s="1">
        <v>10000</v>
      </c>
      <c r="H1311" s="1">
        <v>9962</v>
      </c>
      <c r="I1311" s="1">
        <v>38852</v>
      </c>
      <c r="J1311" s="1">
        <v>3900</v>
      </c>
    </row>
    <row r="1312" spans="1:10" x14ac:dyDescent="0.3">
      <c r="A1312" t="s">
        <v>197</v>
      </c>
      <c r="B1312" t="s">
        <v>3</v>
      </c>
      <c r="C1312" t="s">
        <v>193</v>
      </c>
      <c r="D1312" t="s">
        <v>56</v>
      </c>
      <c r="E1312">
        <v>86</v>
      </c>
      <c r="F1312">
        <v>112</v>
      </c>
      <c r="G1312" s="1">
        <v>11000</v>
      </c>
      <c r="H1312" s="1">
        <v>10850</v>
      </c>
      <c r="I1312" s="1">
        <v>27125</v>
      </c>
      <c r="J1312" s="1">
        <v>2500</v>
      </c>
    </row>
    <row r="1313" spans="1:10" x14ac:dyDescent="0.3">
      <c r="A1313" t="s">
        <v>197</v>
      </c>
      <c r="B1313" t="s">
        <v>18</v>
      </c>
      <c r="C1313" t="s">
        <v>193</v>
      </c>
      <c r="D1313" t="s">
        <v>72</v>
      </c>
      <c r="E1313">
        <v>86</v>
      </c>
      <c r="F1313">
        <v>119</v>
      </c>
      <c r="G1313" s="1">
        <v>196250</v>
      </c>
      <c r="H1313" s="1">
        <v>194288</v>
      </c>
      <c r="I1313" s="1">
        <v>505148</v>
      </c>
      <c r="J1313" s="1">
        <v>2600</v>
      </c>
    </row>
    <row r="1314" spans="1:10" x14ac:dyDescent="0.3">
      <c r="A1314" t="s">
        <v>197</v>
      </c>
      <c r="B1314" t="s">
        <v>17</v>
      </c>
      <c r="C1314" t="s">
        <v>193</v>
      </c>
      <c r="D1314" t="s">
        <v>72</v>
      </c>
      <c r="E1314">
        <v>86</v>
      </c>
      <c r="F1314">
        <v>119</v>
      </c>
      <c r="G1314" s="1">
        <v>282638</v>
      </c>
      <c r="H1314" s="1">
        <v>277764</v>
      </c>
      <c r="I1314" s="1">
        <v>722188</v>
      </c>
      <c r="J1314" s="1">
        <v>2600</v>
      </c>
    </row>
    <row r="1315" spans="1:10" x14ac:dyDescent="0.3">
      <c r="A1315" t="s">
        <v>197</v>
      </c>
      <c r="B1315" t="s">
        <v>14</v>
      </c>
      <c r="C1315" t="s">
        <v>193</v>
      </c>
      <c r="D1315" t="s">
        <v>72</v>
      </c>
      <c r="E1315">
        <v>86</v>
      </c>
      <c r="F1315">
        <v>119</v>
      </c>
      <c r="G1315" s="1">
        <v>213785</v>
      </c>
      <c r="H1315" s="1">
        <v>213434</v>
      </c>
      <c r="I1315" s="1">
        <v>768363</v>
      </c>
      <c r="J1315" s="1">
        <v>3600</v>
      </c>
    </row>
    <row r="1316" spans="1:10" x14ac:dyDescent="0.3">
      <c r="A1316" t="s">
        <v>197</v>
      </c>
      <c r="B1316" t="s">
        <v>12</v>
      </c>
      <c r="C1316" t="s">
        <v>193</v>
      </c>
      <c r="D1316" t="s">
        <v>72</v>
      </c>
      <c r="E1316">
        <v>86</v>
      </c>
      <c r="F1316">
        <v>119</v>
      </c>
      <c r="G1316" s="1">
        <v>150719</v>
      </c>
      <c r="H1316" s="1">
        <v>148113</v>
      </c>
      <c r="I1316" s="1">
        <v>414716</v>
      </c>
      <c r="J1316" s="1">
        <v>2800</v>
      </c>
    </row>
    <row r="1317" spans="1:10" x14ac:dyDescent="0.3">
      <c r="A1317" t="s">
        <v>197</v>
      </c>
      <c r="B1317" t="s">
        <v>9</v>
      </c>
      <c r="C1317" t="s">
        <v>193</v>
      </c>
      <c r="D1317" t="s">
        <v>72</v>
      </c>
      <c r="E1317">
        <v>86</v>
      </c>
      <c r="F1317">
        <v>119</v>
      </c>
      <c r="G1317" s="1">
        <v>207000</v>
      </c>
      <c r="H1317" s="1">
        <v>202800</v>
      </c>
      <c r="I1317" s="1">
        <v>667212</v>
      </c>
      <c r="J1317" s="1">
        <v>3290</v>
      </c>
    </row>
    <row r="1318" spans="1:10" x14ac:dyDescent="0.3">
      <c r="A1318" t="s">
        <v>197</v>
      </c>
      <c r="B1318" t="s">
        <v>8</v>
      </c>
      <c r="C1318" t="s">
        <v>193</v>
      </c>
      <c r="D1318" t="s">
        <v>72</v>
      </c>
      <c r="E1318">
        <v>86</v>
      </c>
      <c r="F1318">
        <v>119</v>
      </c>
      <c r="G1318" s="1">
        <v>193800</v>
      </c>
      <c r="H1318" s="1">
        <v>193190</v>
      </c>
      <c r="I1318" s="1">
        <v>637527</v>
      </c>
      <c r="J1318" s="1">
        <v>3300</v>
      </c>
    </row>
    <row r="1319" spans="1:10" x14ac:dyDescent="0.3">
      <c r="A1319" t="s">
        <v>197</v>
      </c>
      <c r="B1319" t="s">
        <v>7</v>
      </c>
      <c r="C1319" t="s">
        <v>193</v>
      </c>
      <c r="D1319" t="s">
        <v>72</v>
      </c>
      <c r="E1319">
        <v>86</v>
      </c>
      <c r="F1319">
        <v>119</v>
      </c>
      <c r="G1319" s="1">
        <v>251000</v>
      </c>
      <c r="H1319" s="1">
        <v>251000</v>
      </c>
      <c r="I1319" s="1">
        <v>828300</v>
      </c>
      <c r="J1319" s="1">
        <v>3300</v>
      </c>
    </row>
    <row r="1320" spans="1:10" x14ac:dyDescent="0.3">
      <c r="A1320" t="s">
        <v>197</v>
      </c>
      <c r="B1320" t="s">
        <v>6</v>
      </c>
      <c r="C1320" t="s">
        <v>193</v>
      </c>
      <c r="D1320" t="s">
        <v>72</v>
      </c>
      <c r="E1320">
        <v>86</v>
      </c>
      <c r="F1320">
        <v>119</v>
      </c>
      <c r="G1320" s="1">
        <v>251000</v>
      </c>
      <c r="H1320" s="1">
        <v>251000</v>
      </c>
      <c r="I1320" s="1">
        <v>853400</v>
      </c>
      <c r="J1320" s="1">
        <v>3400</v>
      </c>
    </row>
    <row r="1321" spans="1:10" x14ac:dyDescent="0.3">
      <c r="A1321" t="s">
        <v>197</v>
      </c>
      <c r="B1321" t="s">
        <v>5</v>
      </c>
      <c r="C1321" t="s">
        <v>193</v>
      </c>
      <c r="D1321" t="s">
        <v>72</v>
      </c>
      <c r="E1321">
        <v>86</v>
      </c>
      <c r="F1321">
        <v>119</v>
      </c>
      <c r="G1321" s="1">
        <v>259000</v>
      </c>
      <c r="H1321" s="1">
        <v>259000</v>
      </c>
      <c r="I1321" s="1">
        <v>751100</v>
      </c>
      <c r="J1321" s="1">
        <v>2900</v>
      </c>
    </row>
    <row r="1322" spans="1:10" x14ac:dyDescent="0.3">
      <c r="A1322" t="s">
        <v>197</v>
      </c>
      <c r="B1322" t="s">
        <v>4</v>
      </c>
      <c r="C1322" t="s">
        <v>193</v>
      </c>
      <c r="D1322" t="s">
        <v>72</v>
      </c>
      <c r="E1322">
        <v>86</v>
      </c>
      <c r="F1322">
        <v>119</v>
      </c>
      <c r="G1322" s="1">
        <v>242300</v>
      </c>
      <c r="H1322" s="1">
        <v>233000</v>
      </c>
      <c r="I1322" s="1">
        <v>559200</v>
      </c>
      <c r="J1322" s="1">
        <v>2400</v>
      </c>
    </row>
    <row r="1323" spans="1:10" x14ac:dyDescent="0.3">
      <c r="A1323" t="s">
        <v>197</v>
      </c>
      <c r="B1323" t="s">
        <v>3</v>
      </c>
      <c r="C1323" t="s">
        <v>193</v>
      </c>
      <c r="D1323" t="s">
        <v>72</v>
      </c>
      <c r="E1323">
        <v>86</v>
      </c>
      <c r="F1323">
        <v>119</v>
      </c>
      <c r="G1323" s="1">
        <v>319600</v>
      </c>
      <c r="H1323" s="1">
        <v>246090</v>
      </c>
      <c r="I1323" s="1">
        <v>285464</v>
      </c>
      <c r="J1323" s="1">
        <v>1160</v>
      </c>
    </row>
    <row r="1324" spans="1:10" x14ac:dyDescent="0.3">
      <c r="A1324" t="s">
        <v>197</v>
      </c>
      <c r="B1324" t="s">
        <v>7</v>
      </c>
      <c r="C1324" t="s">
        <v>193</v>
      </c>
      <c r="D1324" t="s">
        <v>46</v>
      </c>
      <c r="E1324">
        <v>86</v>
      </c>
      <c r="F1324">
        <v>126</v>
      </c>
      <c r="G1324" s="1">
        <v>3500</v>
      </c>
      <c r="H1324" s="1">
        <v>3500</v>
      </c>
      <c r="I1324" s="1">
        <v>8750</v>
      </c>
      <c r="J1324" s="1">
        <v>2500</v>
      </c>
    </row>
    <row r="1325" spans="1:10" x14ac:dyDescent="0.3">
      <c r="A1325" t="s">
        <v>197</v>
      </c>
      <c r="B1325" t="s">
        <v>5</v>
      </c>
      <c r="C1325" t="s">
        <v>193</v>
      </c>
      <c r="D1325" t="s">
        <v>46</v>
      </c>
      <c r="E1325">
        <v>86</v>
      </c>
      <c r="F1325">
        <v>126</v>
      </c>
      <c r="G1325" s="1">
        <v>6500</v>
      </c>
      <c r="H1325" s="1">
        <v>6500</v>
      </c>
      <c r="I1325" s="1">
        <v>9750</v>
      </c>
      <c r="J1325" s="1">
        <v>1500</v>
      </c>
    </row>
    <row r="1326" spans="1:10" x14ac:dyDescent="0.3">
      <c r="A1326" t="s">
        <v>197</v>
      </c>
      <c r="B1326" t="s">
        <v>4</v>
      </c>
      <c r="C1326" t="s">
        <v>193</v>
      </c>
      <c r="D1326" t="s">
        <v>46</v>
      </c>
      <c r="E1326">
        <v>86</v>
      </c>
      <c r="F1326">
        <v>126</v>
      </c>
      <c r="G1326" s="1">
        <v>6500</v>
      </c>
      <c r="H1326" s="1">
        <v>6495</v>
      </c>
      <c r="I1326" s="1">
        <v>22733</v>
      </c>
      <c r="J1326" s="1">
        <v>3500</v>
      </c>
    </row>
    <row r="1327" spans="1:10" x14ac:dyDescent="0.3">
      <c r="A1327" t="s">
        <v>197</v>
      </c>
      <c r="B1327" t="s">
        <v>3</v>
      </c>
      <c r="C1327" t="s">
        <v>193</v>
      </c>
      <c r="D1327" t="s">
        <v>46</v>
      </c>
      <c r="E1327">
        <v>86</v>
      </c>
      <c r="F1327">
        <v>126</v>
      </c>
      <c r="G1327" s="1">
        <v>7150</v>
      </c>
      <c r="H1327" s="1">
        <v>7050</v>
      </c>
      <c r="I1327" s="1">
        <v>17625</v>
      </c>
      <c r="J1327" s="1">
        <v>2500</v>
      </c>
    </row>
    <row r="1328" spans="1:10" x14ac:dyDescent="0.3">
      <c r="A1328" t="s">
        <v>197</v>
      </c>
      <c r="B1328" t="s">
        <v>18</v>
      </c>
      <c r="C1328" t="s">
        <v>193</v>
      </c>
      <c r="D1328" t="s">
        <v>68</v>
      </c>
      <c r="E1328">
        <v>86</v>
      </c>
      <c r="F1328">
        <v>133</v>
      </c>
      <c r="G1328" s="1">
        <v>5225</v>
      </c>
      <c r="H1328" s="1">
        <v>5115</v>
      </c>
      <c r="I1328" s="1">
        <v>12276</v>
      </c>
      <c r="J1328" s="1">
        <v>2400</v>
      </c>
    </row>
    <row r="1329" spans="1:10" x14ac:dyDescent="0.3">
      <c r="A1329" t="s">
        <v>197</v>
      </c>
      <c r="B1329" t="s">
        <v>17</v>
      </c>
      <c r="C1329" t="s">
        <v>193</v>
      </c>
      <c r="D1329" t="s">
        <v>68</v>
      </c>
      <c r="E1329">
        <v>86</v>
      </c>
      <c r="F1329">
        <v>133</v>
      </c>
      <c r="G1329" s="1">
        <v>27936</v>
      </c>
      <c r="H1329" s="1">
        <v>27936</v>
      </c>
      <c r="I1329" s="1">
        <v>81014</v>
      </c>
      <c r="J1329" s="1">
        <v>2900</v>
      </c>
    </row>
    <row r="1330" spans="1:10" x14ac:dyDescent="0.3">
      <c r="A1330" t="s">
        <v>197</v>
      </c>
      <c r="B1330" t="s">
        <v>14</v>
      </c>
      <c r="C1330" t="s">
        <v>193</v>
      </c>
      <c r="D1330" t="s">
        <v>68</v>
      </c>
      <c r="E1330">
        <v>86</v>
      </c>
      <c r="F1330">
        <v>133</v>
      </c>
      <c r="G1330" s="1">
        <v>12770</v>
      </c>
      <c r="H1330" s="1">
        <v>12770</v>
      </c>
      <c r="I1330" s="1">
        <v>44695</v>
      </c>
      <c r="J1330" s="1">
        <v>3500</v>
      </c>
    </row>
    <row r="1331" spans="1:10" x14ac:dyDescent="0.3">
      <c r="A1331" t="s">
        <v>197</v>
      </c>
      <c r="B1331" t="s">
        <v>12</v>
      </c>
      <c r="C1331" t="s">
        <v>193</v>
      </c>
      <c r="D1331" t="s">
        <v>68</v>
      </c>
      <c r="E1331">
        <v>86</v>
      </c>
      <c r="F1331">
        <v>133</v>
      </c>
      <c r="G1331" s="1">
        <v>9303</v>
      </c>
      <c r="H1331" s="1">
        <v>9303</v>
      </c>
      <c r="I1331" s="1">
        <v>27908</v>
      </c>
      <c r="J1331" s="1">
        <v>3000</v>
      </c>
    </row>
    <row r="1332" spans="1:10" x14ac:dyDescent="0.3">
      <c r="A1332" t="s">
        <v>197</v>
      </c>
      <c r="B1332" t="s">
        <v>9</v>
      </c>
      <c r="C1332" t="s">
        <v>193</v>
      </c>
      <c r="D1332" t="s">
        <v>68</v>
      </c>
      <c r="E1332">
        <v>86</v>
      </c>
      <c r="F1332">
        <v>133</v>
      </c>
      <c r="G1332" s="1">
        <v>39500</v>
      </c>
      <c r="H1332" s="1">
        <v>39500</v>
      </c>
      <c r="I1332" s="1">
        <v>138250</v>
      </c>
      <c r="J1332" s="1">
        <v>3500</v>
      </c>
    </row>
    <row r="1333" spans="1:10" x14ac:dyDescent="0.3">
      <c r="A1333" t="s">
        <v>197</v>
      </c>
      <c r="B1333" t="s">
        <v>8</v>
      </c>
      <c r="C1333" t="s">
        <v>193</v>
      </c>
      <c r="D1333" t="s">
        <v>68</v>
      </c>
      <c r="E1333">
        <v>86</v>
      </c>
      <c r="F1333">
        <v>133</v>
      </c>
      <c r="G1333" s="1">
        <v>30000</v>
      </c>
      <c r="H1333" s="1">
        <v>30000</v>
      </c>
      <c r="I1333" s="1">
        <v>90000</v>
      </c>
      <c r="J1333" s="1">
        <v>3000</v>
      </c>
    </row>
    <row r="1334" spans="1:10" x14ac:dyDescent="0.3">
      <c r="A1334" t="s">
        <v>197</v>
      </c>
      <c r="B1334" t="s">
        <v>7</v>
      </c>
      <c r="C1334" t="s">
        <v>193</v>
      </c>
      <c r="D1334" t="s">
        <v>68</v>
      </c>
      <c r="E1334">
        <v>86</v>
      </c>
      <c r="F1334">
        <v>133</v>
      </c>
      <c r="G1334" s="1">
        <v>30000</v>
      </c>
      <c r="H1334" s="1">
        <v>30000</v>
      </c>
      <c r="I1334" s="1">
        <v>90000</v>
      </c>
      <c r="J1334" s="1">
        <v>3000</v>
      </c>
    </row>
    <row r="1335" spans="1:10" x14ac:dyDescent="0.3">
      <c r="A1335" t="s">
        <v>197</v>
      </c>
      <c r="B1335" t="s">
        <v>6</v>
      </c>
      <c r="C1335" t="s">
        <v>193</v>
      </c>
      <c r="D1335" t="s">
        <v>68</v>
      </c>
      <c r="E1335">
        <v>86</v>
      </c>
      <c r="F1335">
        <v>133</v>
      </c>
      <c r="G1335" s="1">
        <v>35000</v>
      </c>
      <c r="H1335" s="1">
        <v>35000</v>
      </c>
      <c r="I1335" s="1">
        <v>87500</v>
      </c>
      <c r="J1335" s="1">
        <v>2500</v>
      </c>
    </row>
    <row r="1336" spans="1:10" x14ac:dyDescent="0.3">
      <c r="A1336" t="s">
        <v>197</v>
      </c>
      <c r="B1336" t="s">
        <v>5</v>
      </c>
      <c r="C1336" t="s">
        <v>193</v>
      </c>
      <c r="D1336" t="s">
        <v>68</v>
      </c>
      <c r="E1336">
        <v>86</v>
      </c>
      <c r="F1336">
        <v>133</v>
      </c>
      <c r="G1336" s="1">
        <v>35000</v>
      </c>
      <c r="H1336" s="1">
        <v>35000</v>
      </c>
      <c r="I1336" s="1">
        <v>52500</v>
      </c>
      <c r="J1336" s="1">
        <v>1500</v>
      </c>
    </row>
    <row r="1337" spans="1:10" x14ac:dyDescent="0.3">
      <c r="A1337" t="s">
        <v>197</v>
      </c>
      <c r="B1337" t="s">
        <v>4</v>
      </c>
      <c r="C1337" t="s">
        <v>193</v>
      </c>
      <c r="D1337" t="s">
        <v>68</v>
      </c>
      <c r="E1337">
        <v>86</v>
      </c>
      <c r="F1337">
        <v>133</v>
      </c>
      <c r="G1337" s="1">
        <v>35000</v>
      </c>
      <c r="H1337" s="1">
        <v>34961</v>
      </c>
      <c r="I1337" s="1">
        <v>136348</v>
      </c>
      <c r="J1337" s="1">
        <v>3900</v>
      </c>
    </row>
    <row r="1338" spans="1:10" x14ac:dyDescent="0.3">
      <c r="A1338" t="s">
        <v>197</v>
      </c>
      <c r="B1338" t="s">
        <v>3</v>
      </c>
      <c r="C1338" t="s">
        <v>193</v>
      </c>
      <c r="D1338" t="s">
        <v>68</v>
      </c>
      <c r="E1338">
        <v>86</v>
      </c>
      <c r="F1338">
        <v>133</v>
      </c>
      <c r="G1338" s="1">
        <v>38500</v>
      </c>
      <c r="H1338" s="1">
        <v>38350</v>
      </c>
      <c r="I1338" s="1">
        <v>101628</v>
      </c>
      <c r="J1338" s="1">
        <v>2650</v>
      </c>
    </row>
    <row r="1339" spans="1:10" x14ac:dyDescent="0.3">
      <c r="A1339" t="s">
        <v>197</v>
      </c>
      <c r="B1339" t="s">
        <v>7</v>
      </c>
      <c r="C1339" t="s">
        <v>193</v>
      </c>
      <c r="D1339" t="s">
        <v>29</v>
      </c>
      <c r="E1339">
        <v>86</v>
      </c>
      <c r="F1339">
        <v>140</v>
      </c>
      <c r="G1339" s="1">
        <v>3200</v>
      </c>
      <c r="H1339" s="1">
        <v>3200</v>
      </c>
      <c r="I1339" s="1">
        <v>8960</v>
      </c>
      <c r="J1339" s="1">
        <v>2800</v>
      </c>
    </row>
    <row r="1340" spans="1:10" x14ac:dyDescent="0.3">
      <c r="A1340" t="s">
        <v>197</v>
      </c>
      <c r="B1340" t="s">
        <v>5</v>
      </c>
      <c r="C1340" t="s">
        <v>193</v>
      </c>
      <c r="D1340" t="s">
        <v>29</v>
      </c>
      <c r="E1340">
        <v>86</v>
      </c>
      <c r="F1340">
        <v>140</v>
      </c>
      <c r="G1340" s="1">
        <v>2500</v>
      </c>
      <c r="H1340" s="1">
        <v>2500</v>
      </c>
      <c r="I1340" s="1">
        <v>3750</v>
      </c>
      <c r="J1340" s="1">
        <v>1500</v>
      </c>
    </row>
    <row r="1341" spans="1:10" x14ac:dyDescent="0.3">
      <c r="A1341" t="s">
        <v>197</v>
      </c>
      <c r="B1341" t="s">
        <v>4</v>
      </c>
      <c r="C1341" t="s">
        <v>193</v>
      </c>
      <c r="D1341" t="s">
        <v>29</v>
      </c>
      <c r="E1341">
        <v>86</v>
      </c>
      <c r="F1341">
        <v>140</v>
      </c>
      <c r="G1341" s="1">
        <v>2500</v>
      </c>
      <c r="H1341" s="1">
        <v>2497</v>
      </c>
      <c r="I1341" s="1">
        <v>8740</v>
      </c>
      <c r="J1341" s="1">
        <v>3500</v>
      </c>
    </row>
    <row r="1342" spans="1:10" x14ac:dyDescent="0.3">
      <c r="A1342" t="s">
        <v>197</v>
      </c>
      <c r="B1342" t="s">
        <v>3</v>
      </c>
      <c r="C1342" t="s">
        <v>193</v>
      </c>
      <c r="D1342" t="s">
        <v>29</v>
      </c>
      <c r="E1342">
        <v>86</v>
      </c>
      <c r="F1342">
        <v>140</v>
      </c>
      <c r="G1342" s="1">
        <v>2750</v>
      </c>
      <c r="H1342" s="1">
        <v>2698</v>
      </c>
      <c r="I1342" s="1">
        <v>6745</v>
      </c>
      <c r="J1342" s="1">
        <v>2500</v>
      </c>
    </row>
    <row r="1343" spans="1:10" x14ac:dyDescent="0.3">
      <c r="A1343" t="s">
        <v>197</v>
      </c>
      <c r="B1343" t="s">
        <v>18</v>
      </c>
      <c r="C1343" t="s">
        <v>193</v>
      </c>
      <c r="D1343" t="s">
        <v>65</v>
      </c>
      <c r="E1343">
        <v>86</v>
      </c>
      <c r="F1343">
        <v>147</v>
      </c>
      <c r="G1343" s="1">
        <v>4575</v>
      </c>
      <c r="H1343" s="1">
        <v>4575</v>
      </c>
      <c r="I1343" s="1">
        <v>9150</v>
      </c>
      <c r="J1343" s="1">
        <v>2000</v>
      </c>
    </row>
    <row r="1344" spans="1:10" x14ac:dyDescent="0.3">
      <c r="A1344" t="s">
        <v>197</v>
      </c>
      <c r="B1344" t="s">
        <v>17</v>
      </c>
      <c r="C1344" t="s">
        <v>193</v>
      </c>
      <c r="D1344" t="s">
        <v>65</v>
      </c>
      <c r="E1344">
        <v>86</v>
      </c>
      <c r="F1344">
        <v>147</v>
      </c>
      <c r="G1344" s="1">
        <v>14800</v>
      </c>
      <c r="H1344" s="1">
        <v>14800</v>
      </c>
      <c r="I1344" s="1">
        <v>35520</v>
      </c>
      <c r="J1344" s="1">
        <v>2400</v>
      </c>
    </row>
    <row r="1345" spans="1:10" x14ac:dyDescent="0.3">
      <c r="A1345" t="s">
        <v>197</v>
      </c>
      <c r="B1345" t="s">
        <v>14</v>
      </c>
      <c r="C1345" t="s">
        <v>193</v>
      </c>
      <c r="D1345" t="s">
        <v>65</v>
      </c>
      <c r="E1345">
        <v>86</v>
      </c>
      <c r="F1345">
        <v>147</v>
      </c>
      <c r="G1345" s="1">
        <v>8500</v>
      </c>
      <c r="H1345" s="1">
        <v>8500</v>
      </c>
      <c r="I1345" s="1">
        <v>29750</v>
      </c>
      <c r="J1345" s="1">
        <v>3500</v>
      </c>
    </row>
    <row r="1346" spans="1:10" x14ac:dyDescent="0.3">
      <c r="A1346" t="s">
        <v>197</v>
      </c>
      <c r="B1346" t="s">
        <v>12</v>
      </c>
      <c r="C1346" t="s">
        <v>193</v>
      </c>
      <c r="D1346" t="s">
        <v>65</v>
      </c>
      <c r="E1346">
        <v>86</v>
      </c>
      <c r="F1346">
        <v>147</v>
      </c>
      <c r="G1346" s="1">
        <v>192</v>
      </c>
      <c r="H1346" s="1">
        <v>192</v>
      </c>
      <c r="I1346" s="1">
        <v>575</v>
      </c>
      <c r="J1346" s="1">
        <v>2995</v>
      </c>
    </row>
    <row r="1347" spans="1:10" x14ac:dyDescent="0.3">
      <c r="A1347" t="s">
        <v>197</v>
      </c>
      <c r="B1347" t="s">
        <v>9</v>
      </c>
      <c r="C1347" t="s">
        <v>193</v>
      </c>
      <c r="D1347" t="s">
        <v>65</v>
      </c>
      <c r="E1347">
        <v>86</v>
      </c>
      <c r="F1347">
        <v>147</v>
      </c>
      <c r="G1347" s="1">
        <v>11700</v>
      </c>
      <c r="H1347" s="1">
        <v>11700</v>
      </c>
      <c r="I1347" s="1">
        <v>40950</v>
      </c>
      <c r="J1347" s="1">
        <v>3500</v>
      </c>
    </row>
    <row r="1348" spans="1:10" x14ac:dyDescent="0.3">
      <c r="A1348" t="s">
        <v>197</v>
      </c>
      <c r="B1348" t="s">
        <v>8</v>
      </c>
      <c r="C1348" t="s">
        <v>193</v>
      </c>
      <c r="D1348" t="s">
        <v>65</v>
      </c>
      <c r="E1348">
        <v>86</v>
      </c>
      <c r="F1348">
        <v>147</v>
      </c>
      <c r="G1348" s="1">
        <v>4000</v>
      </c>
      <c r="H1348" s="1">
        <v>4000</v>
      </c>
      <c r="I1348" s="1">
        <v>12000</v>
      </c>
      <c r="J1348" s="1">
        <v>3000</v>
      </c>
    </row>
    <row r="1349" spans="1:10" x14ac:dyDescent="0.3">
      <c r="A1349" t="s">
        <v>197</v>
      </c>
      <c r="B1349" t="s">
        <v>7</v>
      </c>
      <c r="C1349" t="s">
        <v>193</v>
      </c>
      <c r="D1349" t="s">
        <v>65</v>
      </c>
      <c r="E1349">
        <v>86</v>
      </c>
      <c r="F1349">
        <v>147</v>
      </c>
      <c r="G1349" s="1">
        <v>4000</v>
      </c>
      <c r="H1349" s="1">
        <v>4000</v>
      </c>
      <c r="I1349" s="1">
        <v>12000</v>
      </c>
      <c r="J1349" s="1">
        <v>3000</v>
      </c>
    </row>
    <row r="1350" spans="1:10" x14ac:dyDescent="0.3">
      <c r="A1350" t="s">
        <v>197</v>
      </c>
      <c r="B1350" t="s">
        <v>6</v>
      </c>
      <c r="C1350" t="s">
        <v>193</v>
      </c>
      <c r="D1350" t="s">
        <v>65</v>
      </c>
      <c r="E1350">
        <v>86</v>
      </c>
      <c r="F1350">
        <v>147</v>
      </c>
      <c r="G1350" s="1">
        <v>4500</v>
      </c>
      <c r="H1350" s="1">
        <v>4500</v>
      </c>
      <c r="I1350" s="1">
        <v>11250</v>
      </c>
      <c r="J1350" s="1">
        <v>2500</v>
      </c>
    </row>
    <row r="1351" spans="1:10" x14ac:dyDescent="0.3">
      <c r="A1351" t="s">
        <v>197</v>
      </c>
      <c r="B1351" t="s">
        <v>5</v>
      </c>
      <c r="C1351" t="s">
        <v>193</v>
      </c>
      <c r="D1351" t="s">
        <v>65</v>
      </c>
      <c r="E1351">
        <v>86</v>
      </c>
      <c r="F1351">
        <v>147</v>
      </c>
      <c r="G1351" s="1">
        <v>4500</v>
      </c>
      <c r="H1351" s="1">
        <v>4500</v>
      </c>
      <c r="I1351" s="1">
        <v>6750</v>
      </c>
      <c r="J1351" s="1">
        <v>1500</v>
      </c>
    </row>
    <row r="1352" spans="1:10" x14ac:dyDescent="0.3">
      <c r="A1352" t="s">
        <v>197</v>
      </c>
      <c r="B1352" t="s">
        <v>4</v>
      </c>
      <c r="C1352" t="s">
        <v>193</v>
      </c>
      <c r="D1352" t="s">
        <v>65</v>
      </c>
      <c r="E1352">
        <v>86</v>
      </c>
      <c r="F1352">
        <v>147</v>
      </c>
      <c r="G1352" s="1">
        <v>4500</v>
      </c>
      <c r="H1352" s="1">
        <v>4497</v>
      </c>
      <c r="I1352" s="1">
        <v>15740</v>
      </c>
      <c r="J1352" s="1">
        <v>3500</v>
      </c>
    </row>
    <row r="1353" spans="1:10" x14ac:dyDescent="0.3">
      <c r="A1353" t="s">
        <v>197</v>
      </c>
      <c r="B1353" t="s">
        <v>3</v>
      </c>
      <c r="C1353" t="s">
        <v>193</v>
      </c>
      <c r="D1353" t="s">
        <v>65</v>
      </c>
      <c r="E1353">
        <v>86</v>
      </c>
      <c r="F1353">
        <v>147</v>
      </c>
      <c r="G1353" s="1">
        <v>49500</v>
      </c>
      <c r="H1353" s="1">
        <v>49402</v>
      </c>
      <c r="I1353" s="1">
        <v>130915</v>
      </c>
      <c r="J1353" s="1">
        <v>2650</v>
      </c>
    </row>
    <row r="1354" spans="1:10" x14ac:dyDescent="0.3">
      <c r="A1354" t="s">
        <v>197</v>
      </c>
      <c r="B1354" t="s">
        <v>18</v>
      </c>
      <c r="C1354" t="s">
        <v>193</v>
      </c>
      <c r="D1354" t="s">
        <v>58</v>
      </c>
      <c r="E1354">
        <v>86</v>
      </c>
      <c r="F1354">
        <v>154</v>
      </c>
      <c r="G1354" s="1">
        <v>45250</v>
      </c>
      <c r="H1354" s="1">
        <v>39820</v>
      </c>
      <c r="I1354" s="1">
        <v>95568</v>
      </c>
      <c r="J1354" s="1">
        <v>2400</v>
      </c>
    </row>
    <row r="1355" spans="1:10" x14ac:dyDescent="0.3">
      <c r="A1355" t="s">
        <v>197</v>
      </c>
      <c r="B1355" t="s">
        <v>17</v>
      </c>
      <c r="C1355" t="s">
        <v>193</v>
      </c>
      <c r="D1355" t="s">
        <v>58</v>
      </c>
      <c r="E1355">
        <v>86</v>
      </c>
      <c r="F1355">
        <v>154</v>
      </c>
      <c r="G1355" s="1">
        <v>47625</v>
      </c>
      <c r="H1355" s="1">
        <v>43815</v>
      </c>
      <c r="I1355" s="1">
        <v>100775</v>
      </c>
      <c r="J1355" s="1">
        <v>2300</v>
      </c>
    </row>
    <row r="1356" spans="1:10" x14ac:dyDescent="0.3">
      <c r="A1356" t="s">
        <v>197</v>
      </c>
      <c r="B1356" t="s">
        <v>14</v>
      </c>
      <c r="C1356" t="s">
        <v>193</v>
      </c>
      <c r="D1356" t="s">
        <v>58</v>
      </c>
      <c r="E1356">
        <v>86</v>
      </c>
      <c r="F1356">
        <v>154</v>
      </c>
      <c r="G1356" s="1">
        <v>19827</v>
      </c>
      <c r="H1356" s="1">
        <v>19710</v>
      </c>
      <c r="I1356" s="1">
        <v>67014</v>
      </c>
      <c r="J1356" s="1">
        <v>3400</v>
      </c>
    </row>
    <row r="1357" spans="1:10" x14ac:dyDescent="0.3">
      <c r="A1357" t="s">
        <v>197</v>
      </c>
      <c r="B1357" t="s">
        <v>12</v>
      </c>
      <c r="C1357" t="s">
        <v>193</v>
      </c>
      <c r="D1357" t="s">
        <v>58</v>
      </c>
      <c r="E1357">
        <v>86</v>
      </c>
      <c r="F1357">
        <v>154</v>
      </c>
      <c r="G1357" s="1">
        <v>21600</v>
      </c>
      <c r="H1357" s="1">
        <v>20142</v>
      </c>
      <c r="I1357" s="1">
        <v>32227</v>
      </c>
      <c r="J1357" s="1">
        <v>1600</v>
      </c>
    </row>
    <row r="1358" spans="1:10" x14ac:dyDescent="0.3">
      <c r="A1358" t="s">
        <v>197</v>
      </c>
      <c r="B1358" t="s">
        <v>9</v>
      </c>
      <c r="C1358" t="s">
        <v>193</v>
      </c>
      <c r="D1358" t="s">
        <v>58</v>
      </c>
      <c r="E1358">
        <v>86</v>
      </c>
      <c r="F1358">
        <v>154</v>
      </c>
      <c r="G1358" s="1">
        <v>36000</v>
      </c>
      <c r="H1358" s="1">
        <v>35060</v>
      </c>
      <c r="I1358" s="1">
        <v>108686</v>
      </c>
      <c r="J1358" s="1">
        <v>3100</v>
      </c>
    </row>
    <row r="1359" spans="1:10" x14ac:dyDescent="0.3">
      <c r="A1359" t="s">
        <v>197</v>
      </c>
      <c r="B1359" t="s">
        <v>8</v>
      </c>
      <c r="C1359" t="s">
        <v>193</v>
      </c>
      <c r="D1359" t="s">
        <v>58</v>
      </c>
      <c r="E1359">
        <v>86</v>
      </c>
      <c r="F1359">
        <v>154</v>
      </c>
      <c r="G1359" s="1">
        <v>8200</v>
      </c>
      <c r="H1359" s="1">
        <v>7890</v>
      </c>
      <c r="I1359" s="1">
        <v>24459</v>
      </c>
      <c r="J1359" s="1">
        <v>3100</v>
      </c>
    </row>
    <row r="1360" spans="1:10" x14ac:dyDescent="0.3">
      <c r="A1360" t="s">
        <v>197</v>
      </c>
      <c r="B1360" t="s">
        <v>7</v>
      </c>
      <c r="C1360" t="s">
        <v>193</v>
      </c>
      <c r="D1360" t="s">
        <v>58</v>
      </c>
      <c r="E1360">
        <v>86</v>
      </c>
      <c r="F1360">
        <v>154</v>
      </c>
      <c r="G1360" s="1">
        <v>8100</v>
      </c>
      <c r="H1360" s="1">
        <v>8100</v>
      </c>
      <c r="I1360" s="1">
        <v>29970</v>
      </c>
      <c r="J1360" s="1">
        <v>3700</v>
      </c>
    </row>
    <row r="1361" spans="1:10" x14ac:dyDescent="0.3">
      <c r="A1361" t="s">
        <v>197</v>
      </c>
      <c r="B1361" t="s">
        <v>6</v>
      </c>
      <c r="C1361" t="s">
        <v>193</v>
      </c>
      <c r="D1361" t="s">
        <v>58</v>
      </c>
      <c r="E1361">
        <v>86</v>
      </c>
      <c r="F1361">
        <v>154</v>
      </c>
      <c r="G1361" s="1">
        <v>8100</v>
      </c>
      <c r="H1361" s="1">
        <v>8100</v>
      </c>
      <c r="I1361" s="1">
        <v>26730</v>
      </c>
      <c r="J1361" s="1">
        <v>3300</v>
      </c>
    </row>
    <row r="1362" spans="1:10" x14ac:dyDescent="0.3">
      <c r="A1362" t="s">
        <v>197</v>
      </c>
      <c r="B1362" t="s">
        <v>5</v>
      </c>
      <c r="C1362" t="s">
        <v>193</v>
      </c>
      <c r="D1362" t="s">
        <v>58</v>
      </c>
      <c r="E1362">
        <v>86</v>
      </c>
      <c r="F1362">
        <v>154</v>
      </c>
      <c r="G1362" s="1">
        <v>13900</v>
      </c>
      <c r="H1362" s="1">
        <v>13900</v>
      </c>
      <c r="I1362" s="1">
        <v>38920</v>
      </c>
      <c r="J1362" s="1">
        <v>2800</v>
      </c>
    </row>
    <row r="1363" spans="1:10" x14ac:dyDescent="0.3">
      <c r="A1363" t="s">
        <v>197</v>
      </c>
      <c r="B1363" t="s">
        <v>4</v>
      </c>
      <c r="C1363" t="s">
        <v>193</v>
      </c>
      <c r="D1363" t="s">
        <v>58</v>
      </c>
      <c r="E1363">
        <v>86</v>
      </c>
      <c r="F1363">
        <v>154</v>
      </c>
      <c r="G1363" s="1">
        <v>1180</v>
      </c>
      <c r="H1363" s="1">
        <v>1090</v>
      </c>
      <c r="I1363" s="1">
        <v>3161</v>
      </c>
      <c r="J1363" s="1">
        <v>2900</v>
      </c>
    </row>
    <row r="1364" spans="1:10" x14ac:dyDescent="0.3">
      <c r="A1364" t="s">
        <v>197</v>
      </c>
      <c r="B1364" t="s">
        <v>3</v>
      </c>
      <c r="C1364" t="s">
        <v>193</v>
      </c>
      <c r="D1364" t="s">
        <v>58</v>
      </c>
      <c r="E1364">
        <v>86</v>
      </c>
      <c r="F1364">
        <v>154</v>
      </c>
      <c r="G1364" s="1">
        <v>15900</v>
      </c>
      <c r="H1364" s="1">
        <v>14450</v>
      </c>
      <c r="I1364" s="1">
        <v>39738</v>
      </c>
      <c r="J1364" s="1">
        <v>2750</v>
      </c>
    </row>
    <row r="1365" spans="1:10" x14ac:dyDescent="0.3">
      <c r="A1365" t="s">
        <v>197</v>
      </c>
      <c r="B1365" t="s">
        <v>18</v>
      </c>
      <c r="C1365" t="s">
        <v>193</v>
      </c>
      <c r="D1365" t="s">
        <v>42</v>
      </c>
      <c r="E1365">
        <v>86</v>
      </c>
      <c r="F1365">
        <v>161</v>
      </c>
      <c r="G1365" s="1">
        <v>150</v>
      </c>
      <c r="H1365" s="1">
        <v>150</v>
      </c>
      <c r="I1365" s="1">
        <v>375</v>
      </c>
      <c r="J1365" s="1">
        <v>2500</v>
      </c>
    </row>
    <row r="1366" spans="1:10" x14ac:dyDescent="0.3">
      <c r="A1366" t="s">
        <v>197</v>
      </c>
      <c r="B1366" t="s">
        <v>17</v>
      </c>
      <c r="C1366" t="s">
        <v>193</v>
      </c>
      <c r="D1366" t="s">
        <v>42</v>
      </c>
      <c r="E1366">
        <v>86</v>
      </c>
      <c r="F1366">
        <v>161</v>
      </c>
      <c r="G1366" s="1">
        <v>290</v>
      </c>
      <c r="H1366" s="1">
        <v>290</v>
      </c>
      <c r="I1366" s="1">
        <v>783</v>
      </c>
      <c r="J1366" s="1">
        <v>2700</v>
      </c>
    </row>
    <row r="1367" spans="1:10" x14ac:dyDescent="0.3">
      <c r="A1367" t="s">
        <v>197</v>
      </c>
      <c r="B1367" t="s">
        <v>14</v>
      </c>
      <c r="C1367" t="s">
        <v>193</v>
      </c>
      <c r="D1367" t="s">
        <v>42</v>
      </c>
      <c r="E1367">
        <v>86</v>
      </c>
      <c r="F1367">
        <v>161</v>
      </c>
      <c r="G1367" s="1">
        <v>1100</v>
      </c>
      <c r="H1367" s="1">
        <v>1100</v>
      </c>
      <c r="I1367" s="1">
        <v>3850</v>
      </c>
      <c r="J1367" s="1">
        <v>3500</v>
      </c>
    </row>
    <row r="1368" spans="1:10" x14ac:dyDescent="0.3">
      <c r="A1368" t="s">
        <v>197</v>
      </c>
      <c r="B1368" t="s">
        <v>12</v>
      </c>
      <c r="C1368" t="s">
        <v>193</v>
      </c>
      <c r="D1368" t="s">
        <v>42</v>
      </c>
      <c r="E1368">
        <v>86</v>
      </c>
      <c r="F1368">
        <v>161</v>
      </c>
      <c r="G1368" s="1">
        <v>650</v>
      </c>
      <c r="H1368" s="1">
        <v>650</v>
      </c>
      <c r="I1368" s="1">
        <v>1950</v>
      </c>
      <c r="J1368" s="1">
        <v>3000</v>
      </c>
    </row>
    <row r="1369" spans="1:10" x14ac:dyDescent="0.3">
      <c r="A1369" t="s">
        <v>197</v>
      </c>
      <c r="B1369" t="s">
        <v>9</v>
      </c>
      <c r="C1369" t="s">
        <v>193</v>
      </c>
      <c r="D1369" t="s">
        <v>42</v>
      </c>
      <c r="E1369">
        <v>86</v>
      </c>
      <c r="F1369">
        <v>161</v>
      </c>
      <c r="G1369" s="1">
        <v>3500</v>
      </c>
      <c r="H1369" s="1">
        <v>3500</v>
      </c>
      <c r="I1369" s="1">
        <v>12180</v>
      </c>
      <c r="J1369" s="1">
        <v>3480</v>
      </c>
    </row>
    <row r="1370" spans="1:10" x14ac:dyDescent="0.3">
      <c r="A1370" t="s">
        <v>197</v>
      </c>
      <c r="B1370" t="s">
        <v>8</v>
      </c>
      <c r="C1370" t="s">
        <v>193</v>
      </c>
      <c r="D1370" t="s">
        <v>42</v>
      </c>
      <c r="E1370">
        <v>86</v>
      </c>
      <c r="F1370">
        <v>161</v>
      </c>
      <c r="G1370" s="1">
        <v>2000</v>
      </c>
      <c r="H1370" s="1">
        <v>2000</v>
      </c>
      <c r="I1370" s="1">
        <v>6000</v>
      </c>
      <c r="J1370" s="1">
        <v>3000</v>
      </c>
    </row>
    <row r="1371" spans="1:10" x14ac:dyDescent="0.3">
      <c r="A1371" t="s">
        <v>197</v>
      </c>
      <c r="B1371" t="s">
        <v>7</v>
      </c>
      <c r="C1371" t="s">
        <v>193</v>
      </c>
      <c r="D1371" t="s">
        <v>42</v>
      </c>
      <c r="E1371">
        <v>86</v>
      </c>
      <c r="F1371">
        <v>161</v>
      </c>
      <c r="G1371" s="1">
        <v>2000</v>
      </c>
      <c r="H1371" s="1">
        <v>2000</v>
      </c>
      <c r="I1371" s="1">
        <v>6000</v>
      </c>
      <c r="J1371" s="1">
        <v>3000</v>
      </c>
    </row>
    <row r="1372" spans="1:10" x14ac:dyDescent="0.3">
      <c r="A1372" t="s">
        <v>197</v>
      </c>
      <c r="B1372" t="s">
        <v>6</v>
      </c>
      <c r="C1372" t="s">
        <v>193</v>
      </c>
      <c r="D1372" t="s">
        <v>42</v>
      </c>
      <c r="E1372">
        <v>86</v>
      </c>
      <c r="F1372">
        <v>161</v>
      </c>
      <c r="G1372" s="1">
        <v>3500</v>
      </c>
      <c r="H1372" s="1">
        <v>3500</v>
      </c>
      <c r="I1372" s="1">
        <v>8750</v>
      </c>
      <c r="J1372" s="1">
        <v>2500</v>
      </c>
    </row>
    <row r="1373" spans="1:10" x14ac:dyDescent="0.3">
      <c r="A1373" t="s">
        <v>197</v>
      </c>
      <c r="B1373" t="s">
        <v>5</v>
      </c>
      <c r="C1373" t="s">
        <v>193</v>
      </c>
      <c r="D1373" t="s">
        <v>42</v>
      </c>
      <c r="E1373">
        <v>86</v>
      </c>
      <c r="F1373">
        <v>161</v>
      </c>
      <c r="G1373" s="1">
        <v>4000</v>
      </c>
      <c r="H1373" s="1">
        <v>4000</v>
      </c>
      <c r="I1373" s="1">
        <v>6000</v>
      </c>
      <c r="J1373" s="1">
        <v>1500</v>
      </c>
    </row>
    <row r="1374" spans="1:10" x14ac:dyDescent="0.3">
      <c r="A1374" t="s">
        <v>197</v>
      </c>
      <c r="B1374" t="s">
        <v>4</v>
      </c>
      <c r="C1374" t="s">
        <v>193</v>
      </c>
      <c r="D1374" t="s">
        <v>42</v>
      </c>
      <c r="E1374">
        <v>86</v>
      </c>
      <c r="F1374">
        <v>161</v>
      </c>
      <c r="G1374" s="1">
        <v>4000</v>
      </c>
      <c r="H1374" s="1">
        <v>3996</v>
      </c>
      <c r="I1374" s="1">
        <v>13986</v>
      </c>
      <c r="J1374" s="1">
        <v>3500</v>
      </c>
    </row>
    <row r="1375" spans="1:10" x14ac:dyDescent="0.3">
      <c r="A1375" t="s">
        <v>197</v>
      </c>
      <c r="B1375" t="s">
        <v>3</v>
      </c>
      <c r="C1375" t="s">
        <v>193</v>
      </c>
      <c r="D1375" t="s">
        <v>42</v>
      </c>
      <c r="E1375">
        <v>86</v>
      </c>
      <c r="F1375">
        <v>161</v>
      </c>
      <c r="G1375" s="1">
        <v>4400</v>
      </c>
      <c r="H1375" s="1">
        <v>4315</v>
      </c>
      <c r="I1375" s="1">
        <v>12298</v>
      </c>
      <c r="J1375" s="1">
        <v>2850</v>
      </c>
    </row>
    <row r="1376" spans="1:10" x14ac:dyDescent="0.3">
      <c r="A1376" t="s">
        <v>197</v>
      </c>
      <c r="B1376" t="s">
        <v>18</v>
      </c>
      <c r="C1376" t="s">
        <v>193</v>
      </c>
      <c r="D1376" t="s">
        <v>52</v>
      </c>
      <c r="E1376">
        <v>86</v>
      </c>
      <c r="F1376">
        <v>175</v>
      </c>
      <c r="G1376" s="1">
        <v>1525</v>
      </c>
      <c r="H1376" s="1">
        <v>1525</v>
      </c>
      <c r="I1376" s="1">
        <v>3813</v>
      </c>
      <c r="J1376" s="1">
        <v>2500</v>
      </c>
    </row>
    <row r="1377" spans="1:10" x14ac:dyDescent="0.3">
      <c r="A1377" t="s">
        <v>197</v>
      </c>
      <c r="B1377" t="s">
        <v>17</v>
      </c>
      <c r="C1377" t="s">
        <v>193</v>
      </c>
      <c r="D1377" t="s">
        <v>52</v>
      </c>
      <c r="E1377">
        <v>86</v>
      </c>
      <c r="F1377">
        <v>175</v>
      </c>
      <c r="G1377" s="1">
        <v>1500</v>
      </c>
      <c r="H1377" s="1">
        <v>1500</v>
      </c>
      <c r="I1377" s="1">
        <v>3600</v>
      </c>
      <c r="J1377" s="1">
        <v>2400</v>
      </c>
    </row>
    <row r="1378" spans="1:10" x14ac:dyDescent="0.3">
      <c r="A1378" t="s">
        <v>197</v>
      </c>
      <c r="B1378" t="s">
        <v>14</v>
      </c>
      <c r="C1378" t="s">
        <v>193</v>
      </c>
      <c r="D1378" t="s">
        <v>52</v>
      </c>
      <c r="E1378">
        <v>86</v>
      </c>
      <c r="F1378">
        <v>175</v>
      </c>
      <c r="G1378" s="1">
        <v>2500</v>
      </c>
      <c r="H1378" s="1">
        <v>2500</v>
      </c>
      <c r="I1378" s="1">
        <v>7000</v>
      </c>
      <c r="J1378" s="1">
        <v>2800</v>
      </c>
    </row>
    <row r="1379" spans="1:10" x14ac:dyDescent="0.3">
      <c r="A1379" t="s">
        <v>197</v>
      </c>
      <c r="B1379" t="s">
        <v>12</v>
      </c>
      <c r="C1379" t="s">
        <v>193</v>
      </c>
      <c r="D1379" t="s">
        <v>52</v>
      </c>
      <c r="E1379">
        <v>86</v>
      </c>
      <c r="F1379">
        <v>175</v>
      </c>
      <c r="G1379" s="1">
        <v>2500</v>
      </c>
      <c r="H1379" s="1">
        <v>2500</v>
      </c>
      <c r="I1379" s="1">
        <v>5000</v>
      </c>
      <c r="J1379" s="1">
        <v>2000</v>
      </c>
    </row>
    <row r="1380" spans="1:10" x14ac:dyDescent="0.3">
      <c r="A1380" t="s">
        <v>197</v>
      </c>
      <c r="B1380" t="s">
        <v>9</v>
      </c>
      <c r="C1380" t="s">
        <v>193</v>
      </c>
      <c r="D1380" t="s">
        <v>52</v>
      </c>
      <c r="E1380">
        <v>86</v>
      </c>
      <c r="F1380">
        <v>175</v>
      </c>
      <c r="G1380" s="1">
        <v>2000</v>
      </c>
      <c r="H1380" s="1">
        <v>2000</v>
      </c>
      <c r="I1380" s="1">
        <v>5800</v>
      </c>
      <c r="J1380" s="1">
        <v>2900</v>
      </c>
    </row>
    <row r="1381" spans="1:10" x14ac:dyDescent="0.3">
      <c r="A1381" t="s">
        <v>197</v>
      </c>
      <c r="B1381" t="s">
        <v>8</v>
      </c>
      <c r="C1381" t="s">
        <v>193</v>
      </c>
      <c r="D1381" t="s">
        <v>52</v>
      </c>
      <c r="E1381">
        <v>86</v>
      </c>
      <c r="F1381">
        <v>175</v>
      </c>
      <c r="G1381" s="1">
        <v>2000</v>
      </c>
      <c r="H1381" s="1">
        <v>2000</v>
      </c>
      <c r="I1381" s="1">
        <v>6000</v>
      </c>
      <c r="J1381" s="1">
        <v>3000</v>
      </c>
    </row>
    <row r="1382" spans="1:10" x14ac:dyDescent="0.3">
      <c r="A1382" t="s">
        <v>197</v>
      </c>
      <c r="B1382" t="s">
        <v>7</v>
      </c>
      <c r="C1382" t="s">
        <v>193</v>
      </c>
      <c r="D1382" t="s">
        <v>52</v>
      </c>
      <c r="E1382">
        <v>86</v>
      </c>
      <c r="F1382">
        <v>175</v>
      </c>
      <c r="G1382" s="1">
        <v>2500</v>
      </c>
      <c r="H1382" s="1">
        <v>2500</v>
      </c>
      <c r="I1382" s="1">
        <v>7500</v>
      </c>
      <c r="J1382" s="1">
        <v>3000</v>
      </c>
    </row>
    <row r="1383" spans="1:10" x14ac:dyDescent="0.3">
      <c r="A1383" t="s">
        <v>197</v>
      </c>
      <c r="B1383" t="s">
        <v>6</v>
      </c>
      <c r="C1383" t="s">
        <v>193</v>
      </c>
      <c r="D1383" t="s">
        <v>52</v>
      </c>
      <c r="E1383">
        <v>86</v>
      </c>
      <c r="F1383">
        <v>175</v>
      </c>
      <c r="G1383" s="1">
        <v>2000</v>
      </c>
      <c r="H1383" s="1">
        <v>2000</v>
      </c>
      <c r="I1383" s="1">
        <v>5000</v>
      </c>
      <c r="J1383" s="1">
        <v>2500</v>
      </c>
    </row>
    <row r="1384" spans="1:10" x14ac:dyDescent="0.3">
      <c r="A1384" t="s">
        <v>197</v>
      </c>
      <c r="B1384" t="s">
        <v>5</v>
      </c>
      <c r="C1384" t="s">
        <v>193</v>
      </c>
      <c r="D1384" t="s">
        <v>52</v>
      </c>
      <c r="E1384">
        <v>86</v>
      </c>
      <c r="F1384">
        <v>175</v>
      </c>
      <c r="G1384" s="1">
        <v>2000</v>
      </c>
      <c r="H1384" s="1">
        <v>2000</v>
      </c>
      <c r="I1384" s="1">
        <v>3000</v>
      </c>
      <c r="J1384" s="1">
        <v>1500</v>
      </c>
    </row>
    <row r="1385" spans="1:10" x14ac:dyDescent="0.3">
      <c r="A1385" t="s">
        <v>197</v>
      </c>
      <c r="B1385" t="s">
        <v>4</v>
      </c>
      <c r="C1385" t="s">
        <v>193</v>
      </c>
      <c r="D1385" t="s">
        <v>52</v>
      </c>
      <c r="E1385">
        <v>86</v>
      </c>
      <c r="F1385">
        <v>175</v>
      </c>
      <c r="G1385" s="1">
        <v>2000</v>
      </c>
      <c r="H1385" s="1">
        <v>1995</v>
      </c>
      <c r="I1385" s="1">
        <v>6983</v>
      </c>
      <c r="J1385" s="1">
        <v>3500</v>
      </c>
    </row>
    <row r="1386" spans="1:10" x14ac:dyDescent="0.3">
      <c r="A1386" t="s">
        <v>197</v>
      </c>
      <c r="B1386" t="s">
        <v>3</v>
      </c>
      <c r="C1386" t="s">
        <v>193</v>
      </c>
      <c r="D1386" t="s">
        <v>52</v>
      </c>
      <c r="E1386">
        <v>86</v>
      </c>
      <c r="F1386">
        <v>175</v>
      </c>
      <c r="G1386" s="1">
        <v>2200</v>
      </c>
      <c r="H1386" s="1">
        <v>2150</v>
      </c>
      <c r="I1386" s="1">
        <v>6020</v>
      </c>
      <c r="J1386" s="1">
        <v>2800</v>
      </c>
    </row>
    <row r="1387" spans="1:10" x14ac:dyDescent="0.3">
      <c r="A1387" t="s">
        <v>197</v>
      </c>
      <c r="B1387" t="s">
        <v>17</v>
      </c>
      <c r="C1387" t="s">
        <v>193</v>
      </c>
      <c r="D1387" t="s">
        <v>25</v>
      </c>
      <c r="E1387">
        <v>86</v>
      </c>
      <c r="F1387">
        <v>182</v>
      </c>
      <c r="G1387" s="1">
        <v>3000</v>
      </c>
      <c r="H1387" s="1">
        <v>3000</v>
      </c>
      <c r="I1387" s="1">
        <v>8700</v>
      </c>
      <c r="J1387" s="1">
        <v>2900</v>
      </c>
    </row>
    <row r="1388" spans="1:10" x14ac:dyDescent="0.3">
      <c r="A1388" t="s">
        <v>197</v>
      </c>
      <c r="B1388" t="s">
        <v>12</v>
      </c>
      <c r="C1388" t="s">
        <v>193</v>
      </c>
      <c r="D1388" t="s">
        <v>25</v>
      </c>
      <c r="E1388">
        <v>86</v>
      </c>
      <c r="F1388">
        <v>182</v>
      </c>
      <c r="G1388" s="1">
        <v>500</v>
      </c>
      <c r="H1388" s="1">
        <v>500</v>
      </c>
      <c r="I1388" s="1">
        <v>550</v>
      </c>
      <c r="J1388" s="1">
        <v>1100</v>
      </c>
    </row>
    <row r="1389" spans="1:10" x14ac:dyDescent="0.3">
      <c r="A1389" t="s">
        <v>197</v>
      </c>
      <c r="B1389" t="s">
        <v>9</v>
      </c>
      <c r="C1389" t="s">
        <v>193</v>
      </c>
      <c r="D1389" t="s">
        <v>25</v>
      </c>
      <c r="E1389">
        <v>86</v>
      </c>
      <c r="F1389">
        <v>182</v>
      </c>
      <c r="G1389" s="1">
        <v>550</v>
      </c>
      <c r="H1389" s="1">
        <v>550</v>
      </c>
      <c r="I1389" s="1">
        <v>1760</v>
      </c>
      <c r="J1389" s="1">
        <v>3200</v>
      </c>
    </row>
    <row r="1390" spans="1:10" x14ac:dyDescent="0.3">
      <c r="A1390" t="s">
        <v>197</v>
      </c>
      <c r="B1390" t="s">
        <v>8</v>
      </c>
      <c r="C1390" t="s">
        <v>193</v>
      </c>
      <c r="D1390" t="s">
        <v>25</v>
      </c>
      <c r="E1390">
        <v>86</v>
      </c>
      <c r="F1390">
        <v>182</v>
      </c>
      <c r="G1390" s="1">
        <v>800</v>
      </c>
      <c r="H1390" s="1">
        <v>620</v>
      </c>
      <c r="I1390" s="1">
        <v>1984</v>
      </c>
      <c r="J1390" s="1">
        <v>3200</v>
      </c>
    </row>
    <row r="1391" spans="1:10" x14ac:dyDescent="0.3">
      <c r="A1391" t="s">
        <v>197</v>
      </c>
      <c r="B1391" t="s">
        <v>7</v>
      </c>
      <c r="C1391" t="s">
        <v>193</v>
      </c>
      <c r="D1391" t="s">
        <v>25</v>
      </c>
      <c r="E1391">
        <v>86</v>
      </c>
      <c r="F1391">
        <v>182</v>
      </c>
      <c r="G1391" s="1">
        <v>800</v>
      </c>
      <c r="H1391" s="1">
        <v>800</v>
      </c>
      <c r="I1391" s="1">
        <v>2400</v>
      </c>
      <c r="J1391" s="1">
        <v>3000</v>
      </c>
    </row>
    <row r="1392" spans="1:10" x14ac:dyDescent="0.3">
      <c r="A1392" t="s">
        <v>197</v>
      </c>
      <c r="B1392" t="s">
        <v>6</v>
      </c>
      <c r="C1392" t="s">
        <v>193</v>
      </c>
      <c r="D1392" t="s">
        <v>25</v>
      </c>
      <c r="E1392">
        <v>86</v>
      </c>
      <c r="F1392">
        <v>182</v>
      </c>
      <c r="G1392" s="1">
        <v>800</v>
      </c>
      <c r="H1392" s="1">
        <v>800</v>
      </c>
      <c r="I1392" s="1">
        <v>2240</v>
      </c>
      <c r="J1392" s="1">
        <v>2800</v>
      </c>
    </row>
    <row r="1393" spans="1:10" x14ac:dyDescent="0.3">
      <c r="A1393" t="s">
        <v>197</v>
      </c>
      <c r="B1393" t="s">
        <v>5</v>
      </c>
      <c r="C1393" t="s">
        <v>193</v>
      </c>
      <c r="D1393" t="s">
        <v>25</v>
      </c>
      <c r="E1393">
        <v>86</v>
      </c>
      <c r="F1393">
        <v>182</v>
      </c>
      <c r="G1393" s="1">
        <v>800</v>
      </c>
      <c r="H1393" s="1">
        <v>800</v>
      </c>
      <c r="I1393" s="1">
        <v>2160</v>
      </c>
      <c r="J1393" s="1">
        <v>2700</v>
      </c>
    </row>
    <row r="1394" spans="1:10" x14ac:dyDescent="0.3">
      <c r="A1394" t="s">
        <v>197</v>
      </c>
      <c r="B1394" t="s">
        <v>4</v>
      </c>
      <c r="C1394" t="s">
        <v>193</v>
      </c>
      <c r="D1394" t="s">
        <v>25</v>
      </c>
      <c r="E1394">
        <v>86</v>
      </c>
      <c r="F1394">
        <v>182</v>
      </c>
      <c r="G1394" s="1">
        <v>900</v>
      </c>
      <c r="H1394" s="1">
        <v>830</v>
      </c>
      <c r="I1394" s="1">
        <v>2075</v>
      </c>
      <c r="J1394" s="1">
        <v>2500</v>
      </c>
    </row>
    <row r="1395" spans="1:10" x14ac:dyDescent="0.3">
      <c r="A1395" t="s">
        <v>197</v>
      </c>
      <c r="B1395" t="s">
        <v>3</v>
      </c>
      <c r="C1395" t="s">
        <v>193</v>
      </c>
      <c r="D1395" t="s">
        <v>25</v>
      </c>
      <c r="E1395">
        <v>86</v>
      </c>
      <c r="F1395">
        <v>182</v>
      </c>
      <c r="G1395" s="1">
        <v>1040</v>
      </c>
      <c r="H1395" s="1">
        <v>320</v>
      </c>
      <c r="I1395" s="1">
        <v>544</v>
      </c>
      <c r="J1395" s="1">
        <v>1700</v>
      </c>
    </row>
    <row r="1396" spans="1:10" x14ac:dyDescent="0.3">
      <c r="A1396" t="s">
        <v>197</v>
      </c>
      <c r="B1396" t="s">
        <v>18</v>
      </c>
      <c r="C1396" t="s">
        <v>193</v>
      </c>
      <c r="D1396" t="s">
        <v>33</v>
      </c>
      <c r="E1396">
        <v>86</v>
      </c>
      <c r="F1396">
        <v>189</v>
      </c>
      <c r="G1396" s="1">
        <v>2075</v>
      </c>
      <c r="H1396" s="1">
        <v>2075</v>
      </c>
      <c r="I1396" s="1">
        <v>5188</v>
      </c>
      <c r="J1396" s="1">
        <v>2500</v>
      </c>
    </row>
    <row r="1397" spans="1:10" x14ac:dyDescent="0.3">
      <c r="A1397" t="s">
        <v>197</v>
      </c>
      <c r="B1397" t="s">
        <v>14</v>
      </c>
      <c r="C1397" t="s">
        <v>193</v>
      </c>
      <c r="D1397" t="s">
        <v>33</v>
      </c>
      <c r="E1397">
        <v>86</v>
      </c>
      <c r="F1397">
        <v>189</v>
      </c>
      <c r="G1397" s="1">
        <v>1600</v>
      </c>
      <c r="H1397" s="1">
        <v>1600</v>
      </c>
      <c r="I1397" s="1">
        <v>5600</v>
      </c>
      <c r="J1397" s="1">
        <v>3500</v>
      </c>
    </row>
    <row r="1398" spans="1:10" x14ac:dyDescent="0.3">
      <c r="A1398" t="s">
        <v>197</v>
      </c>
      <c r="B1398" t="s">
        <v>12</v>
      </c>
      <c r="C1398" t="s">
        <v>193</v>
      </c>
      <c r="D1398" t="s">
        <v>33</v>
      </c>
      <c r="E1398">
        <v>86</v>
      </c>
      <c r="F1398">
        <v>189</v>
      </c>
      <c r="G1398" s="1">
        <v>1625</v>
      </c>
      <c r="H1398" s="1">
        <v>1625</v>
      </c>
      <c r="I1398" s="1">
        <v>4875</v>
      </c>
      <c r="J1398" s="1">
        <v>3000</v>
      </c>
    </row>
    <row r="1399" spans="1:10" x14ac:dyDescent="0.3">
      <c r="A1399" t="s">
        <v>197</v>
      </c>
      <c r="B1399" t="s">
        <v>9</v>
      </c>
      <c r="C1399" t="s">
        <v>193</v>
      </c>
      <c r="D1399" t="s">
        <v>33</v>
      </c>
      <c r="E1399">
        <v>86</v>
      </c>
      <c r="F1399">
        <v>189</v>
      </c>
      <c r="G1399" s="1">
        <v>4000</v>
      </c>
      <c r="H1399" s="1">
        <v>4000</v>
      </c>
      <c r="I1399" s="1">
        <v>14000</v>
      </c>
      <c r="J1399" s="1">
        <v>3500</v>
      </c>
    </row>
    <row r="1400" spans="1:10" x14ac:dyDescent="0.3">
      <c r="A1400" t="s">
        <v>197</v>
      </c>
      <c r="B1400" t="s">
        <v>8</v>
      </c>
      <c r="C1400" t="s">
        <v>193</v>
      </c>
      <c r="D1400" t="s">
        <v>33</v>
      </c>
      <c r="E1400">
        <v>86</v>
      </c>
      <c r="F1400">
        <v>189</v>
      </c>
      <c r="G1400" s="1">
        <v>2500</v>
      </c>
      <c r="H1400" s="1">
        <v>2500</v>
      </c>
      <c r="I1400" s="1">
        <v>7500</v>
      </c>
      <c r="J1400" s="1">
        <v>3000</v>
      </c>
    </row>
    <row r="1401" spans="1:10" x14ac:dyDescent="0.3">
      <c r="A1401" t="s">
        <v>197</v>
      </c>
      <c r="B1401" t="s">
        <v>7</v>
      </c>
      <c r="C1401" t="s">
        <v>193</v>
      </c>
      <c r="D1401" t="s">
        <v>33</v>
      </c>
      <c r="E1401">
        <v>86</v>
      </c>
      <c r="F1401">
        <v>189</v>
      </c>
      <c r="G1401" s="1">
        <v>2500</v>
      </c>
      <c r="H1401" s="1">
        <v>2500</v>
      </c>
      <c r="I1401" s="1">
        <v>7500</v>
      </c>
      <c r="J1401" s="1">
        <v>3000</v>
      </c>
    </row>
    <row r="1402" spans="1:10" x14ac:dyDescent="0.3">
      <c r="A1402" t="s">
        <v>197</v>
      </c>
      <c r="B1402" t="s">
        <v>6</v>
      </c>
      <c r="C1402" t="s">
        <v>193</v>
      </c>
      <c r="D1402" t="s">
        <v>33</v>
      </c>
      <c r="E1402">
        <v>86</v>
      </c>
      <c r="F1402">
        <v>189</v>
      </c>
      <c r="G1402" s="1">
        <v>2500</v>
      </c>
      <c r="H1402" s="1">
        <v>2500</v>
      </c>
      <c r="I1402" s="1">
        <v>6250</v>
      </c>
      <c r="J1402" s="1">
        <v>2500</v>
      </c>
    </row>
    <row r="1403" spans="1:10" x14ac:dyDescent="0.3">
      <c r="A1403" t="s">
        <v>197</v>
      </c>
      <c r="B1403" t="s">
        <v>5</v>
      </c>
      <c r="C1403" t="s">
        <v>193</v>
      </c>
      <c r="D1403" t="s">
        <v>33</v>
      </c>
      <c r="E1403">
        <v>86</v>
      </c>
      <c r="F1403">
        <v>189</v>
      </c>
      <c r="G1403" s="1">
        <v>2500</v>
      </c>
      <c r="H1403" s="1">
        <v>2500</v>
      </c>
      <c r="I1403" s="1">
        <v>3750</v>
      </c>
      <c r="J1403" s="1">
        <v>1500</v>
      </c>
    </row>
    <row r="1404" spans="1:10" x14ac:dyDescent="0.3">
      <c r="A1404" t="s">
        <v>197</v>
      </c>
      <c r="B1404" t="s">
        <v>4</v>
      </c>
      <c r="C1404" t="s">
        <v>193</v>
      </c>
      <c r="D1404" t="s">
        <v>33</v>
      </c>
      <c r="E1404">
        <v>86</v>
      </c>
      <c r="F1404">
        <v>189</v>
      </c>
      <c r="G1404" s="1">
        <v>2500</v>
      </c>
      <c r="H1404" s="1">
        <v>2497</v>
      </c>
      <c r="I1404" s="1">
        <v>8740</v>
      </c>
      <c r="J1404" s="1">
        <v>3500</v>
      </c>
    </row>
    <row r="1405" spans="1:10" x14ac:dyDescent="0.3">
      <c r="A1405" t="s">
        <v>197</v>
      </c>
      <c r="B1405" t="s">
        <v>3</v>
      </c>
      <c r="C1405" t="s">
        <v>193</v>
      </c>
      <c r="D1405" t="s">
        <v>33</v>
      </c>
      <c r="E1405">
        <v>86</v>
      </c>
      <c r="F1405">
        <v>189</v>
      </c>
      <c r="G1405" s="1">
        <v>2750</v>
      </c>
      <c r="H1405" s="1">
        <v>2680</v>
      </c>
      <c r="I1405" s="1">
        <v>5896</v>
      </c>
      <c r="J1405" s="1">
        <v>2200</v>
      </c>
    </row>
    <row r="1406" spans="1:10" x14ac:dyDescent="0.3">
      <c r="A1406" t="s">
        <v>195</v>
      </c>
      <c r="B1406" t="s">
        <v>17</v>
      </c>
      <c r="C1406" t="s">
        <v>193</v>
      </c>
      <c r="D1406" t="s">
        <v>64</v>
      </c>
      <c r="E1406">
        <v>86</v>
      </c>
      <c r="F1406">
        <v>7</v>
      </c>
      <c r="G1406" s="1">
        <v>2280</v>
      </c>
      <c r="H1406" s="1">
        <v>2280</v>
      </c>
      <c r="I1406" s="1">
        <v>5472</v>
      </c>
      <c r="J1406" s="1">
        <v>2400</v>
      </c>
    </row>
    <row r="1407" spans="1:10" x14ac:dyDescent="0.3">
      <c r="A1407" t="s">
        <v>195</v>
      </c>
      <c r="B1407" t="s">
        <v>14</v>
      </c>
      <c r="C1407" t="s">
        <v>193</v>
      </c>
      <c r="D1407" t="s">
        <v>64</v>
      </c>
      <c r="E1407">
        <v>86</v>
      </c>
      <c r="F1407">
        <v>7</v>
      </c>
      <c r="G1407" s="1">
        <v>9500</v>
      </c>
      <c r="H1407" s="1">
        <v>9500</v>
      </c>
      <c r="I1407" s="1">
        <v>34200</v>
      </c>
      <c r="J1407" s="1">
        <v>3600</v>
      </c>
    </row>
    <row r="1408" spans="1:10" x14ac:dyDescent="0.3">
      <c r="A1408" t="s">
        <v>195</v>
      </c>
      <c r="B1408" t="s">
        <v>12</v>
      </c>
      <c r="C1408" t="s">
        <v>193</v>
      </c>
      <c r="D1408" t="s">
        <v>64</v>
      </c>
      <c r="E1408">
        <v>86</v>
      </c>
      <c r="F1408">
        <v>7</v>
      </c>
      <c r="G1408" s="1">
        <v>9618</v>
      </c>
      <c r="H1408" s="1">
        <v>9618</v>
      </c>
      <c r="I1408" s="1">
        <v>15389</v>
      </c>
      <c r="J1408" s="1">
        <v>1600</v>
      </c>
    </row>
    <row r="1409" spans="1:10" x14ac:dyDescent="0.3">
      <c r="A1409" t="s">
        <v>195</v>
      </c>
      <c r="B1409" t="s">
        <v>9</v>
      </c>
      <c r="C1409" t="s">
        <v>193</v>
      </c>
      <c r="D1409" t="s">
        <v>64</v>
      </c>
      <c r="E1409">
        <v>86</v>
      </c>
      <c r="F1409">
        <v>7</v>
      </c>
      <c r="G1409" s="1">
        <v>5190</v>
      </c>
      <c r="H1409" s="1">
        <v>4690</v>
      </c>
      <c r="I1409" s="1">
        <v>10318</v>
      </c>
      <c r="J1409" s="1">
        <v>2200</v>
      </c>
    </row>
    <row r="1410" spans="1:10" x14ac:dyDescent="0.3">
      <c r="A1410" t="s">
        <v>195</v>
      </c>
      <c r="B1410" t="s">
        <v>8</v>
      </c>
      <c r="C1410" t="s">
        <v>193</v>
      </c>
      <c r="D1410" t="s">
        <v>64</v>
      </c>
      <c r="E1410">
        <v>86</v>
      </c>
      <c r="F1410">
        <v>7</v>
      </c>
      <c r="G1410" s="1">
        <v>14000</v>
      </c>
      <c r="H1410" s="1">
        <v>13915</v>
      </c>
      <c r="I1410" s="1">
        <v>41745</v>
      </c>
      <c r="J1410" s="1">
        <v>3000</v>
      </c>
    </row>
    <row r="1411" spans="1:10" x14ac:dyDescent="0.3">
      <c r="A1411" t="s">
        <v>195</v>
      </c>
      <c r="B1411" t="s">
        <v>7</v>
      </c>
      <c r="C1411" t="s">
        <v>193</v>
      </c>
      <c r="D1411" t="s">
        <v>64</v>
      </c>
      <c r="E1411">
        <v>86</v>
      </c>
      <c r="F1411">
        <v>7</v>
      </c>
      <c r="G1411" s="1">
        <v>14000</v>
      </c>
      <c r="H1411" s="1">
        <v>14000</v>
      </c>
      <c r="I1411" s="1">
        <v>44800</v>
      </c>
      <c r="J1411" s="1">
        <v>3200</v>
      </c>
    </row>
    <row r="1412" spans="1:10" x14ac:dyDescent="0.3">
      <c r="A1412" t="s">
        <v>195</v>
      </c>
      <c r="B1412" t="s">
        <v>6</v>
      </c>
      <c r="C1412" t="s">
        <v>193</v>
      </c>
      <c r="D1412" t="s">
        <v>64</v>
      </c>
      <c r="E1412">
        <v>86</v>
      </c>
      <c r="F1412">
        <v>7</v>
      </c>
      <c r="G1412" s="1">
        <v>14000</v>
      </c>
      <c r="H1412" s="1">
        <v>14000</v>
      </c>
      <c r="I1412" s="1">
        <v>39200</v>
      </c>
      <c r="J1412" s="1">
        <v>2800</v>
      </c>
    </row>
    <row r="1413" spans="1:10" x14ac:dyDescent="0.3">
      <c r="A1413" t="s">
        <v>195</v>
      </c>
      <c r="B1413" t="s">
        <v>5</v>
      </c>
      <c r="C1413" t="s">
        <v>193</v>
      </c>
      <c r="D1413" t="s">
        <v>64</v>
      </c>
      <c r="E1413">
        <v>86</v>
      </c>
      <c r="F1413">
        <v>7</v>
      </c>
      <c r="G1413" s="1">
        <v>10800</v>
      </c>
      <c r="H1413" s="1">
        <v>10800</v>
      </c>
      <c r="I1413" s="1">
        <v>22680</v>
      </c>
      <c r="J1413" s="1">
        <v>2100</v>
      </c>
    </row>
    <row r="1414" spans="1:10" x14ac:dyDescent="0.3">
      <c r="A1414" t="s">
        <v>195</v>
      </c>
      <c r="B1414" t="s">
        <v>4</v>
      </c>
      <c r="C1414" t="s">
        <v>193</v>
      </c>
      <c r="D1414" t="s">
        <v>64</v>
      </c>
      <c r="E1414">
        <v>86</v>
      </c>
      <c r="F1414">
        <v>7</v>
      </c>
      <c r="G1414" s="1">
        <v>11100</v>
      </c>
      <c r="H1414" s="1">
        <v>11100</v>
      </c>
      <c r="I1414" s="1">
        <v>25197</v>
      </c>
      <c r="J1414" s="1">
        <v>2270</v>
      </c>
    </row>
    <row r="1415" spans="1:10" x14ac:dyDescent="0.3">
      <c r="A1415" t="s">
        <v>195</v>
      </c>
      <c r="B1415" t="s">
        <v>3</v>
      </c>
      <c r="C1415" t="s">
        <v>193</v>
      </c>
      <c r="D1415" t="s">
        <v>64</v>
      </c>
      <c r="E1415">
        <v>86</v>
      </c>
      <c r="F1415">
        <v>7</v>
      </c>
      <c r="G1415" s="1">
        <v>12200</v>
      </c>
      <c r="H1415" s="1">
        <v>11620</v>
      </c>
      <c r="I1415" s="1">
        <v>26726</v>
      </c>
      <c r="J1415" s="1">
        <v>2300</v>
      </c>
    </row>
    <row r="1416" spans="1:10" x14ac:dyDescent="0.3">
      <c r="A1416" t="s">
        <v>195</v>
      </c>
      <c r="B1416" t="s">
        <v>18</v>
      </c>
      <c r="C1416" t="s">
        <v>193</v>
      </c>
      <c r="D1416" t="s">
        <v>62</v>
      </c>
      <c r="E1416">
        <v>86</v>
      </c>
      <c r="F1416">
        <v>14</v>
      </c>
      <c r="G1416" s="1">
        <v>7600</v>
      </c>
      <c r="H1416" s="1">
        <v>7520</v>
      </c>
      <c r="I1416" s="1">
        <v>19552</v>
      </c>
      <c r="J1416" s="1">
        <v>2600</v>
      </c>
    </row>
    <row r="1417" spans="1:10" x14ac:dyDescent="0.3">
      <c r="A1417" t="s">
        <v>195</v>
      </c>
      <c r="B1417" t="s">
        <v>17</v>
      </c>
      <c r="C1417" t="s">
        <v>193</v>
      </c>
      <c r="D1417" t="s">
        <v>62</v>
      </c>
      <c r="E1417">
        <v>86</v>
      </c>
      <c r="F1417">
        <v>14</v>
      </c>
      <c r="G1417" s="1">
        <v>12986</v>
      </c>
      <c r="H1417" s="1">
        <v>12986</v>
      </c>
      <c r="I1417" s="1">
        <v>37661</v>
      </c>
      <c r="J1417" s="1">
        <v>2900</v>
      </c>
    </row>
    <row r="1418" spans="1:10" x14ac:dyDescent="0.3">
      <c r="A1418" t="s">
        <v>195</v>
      </c>
      <c r="B1418" t="s">
        <v>14</v>
      </c>
      <c r="C1418" t="s">
        <v>193</v>
      </c>
      <c r="D1418" t="s">
        <v>62</v>
      </c>
      <c r="E1418">
        <v>86</v>
      </c>
      <c r="F1418">
        <v>14</v>
      </c>
      <c r="G1418" s="1">
        <v>8360</v>
      </c>
      <c r="H1418" s="1">
        <v>8360</v>
      </c>
      <c r="I1418" s="1">
        <v>32604</v>
      </c>
      <c r="J1418" s="1">
        <v>3900</v>
      </c>
    </row>
    <row r="1419" spans="1:10" x14ac:dyDescent="0.3">
      <c r="A1419" t="s">
        <v>195</v>
      </c>
      <c r="B1419" t="s">
        <v>12</v>
      </c>
      <c r="C1419" t="s">
        <v>193</v>
      </c>
      <c r="D1419" t="s">
        <v>62</v>
      </c>
      <c r="E1419">
        <v>86</v>
      </c>
      <c r="F1419">
        <v>14</v>
      </c>
      <c r="G1419" s="1">
        <v>19997</v>
      </c>
      <c r="H1419" s="1">
        <v>19997</v>
      </c>
      <c r="I1419" s="1">
        <v>65992</v>
      </c>
      <c r="J1419" s="1">
        <v>3300</v>
      </c>
    </row>
    <row r="1420" spans="1:10" x14ac:dyDescent="0.3">
      <c r="A1420" t="s">
        <v>195</v>
      </c>
      <c r="B1420" t="s">
        <v>9</v>
      </c>
      <c r="C1420" t="s">
        <v>193</v>
      </c>
      <c r="D1420" t="s">
        <v>62</v>
      </c>
      <c r="E1420">
        <v>86</v>
      </c>
      <c r="F1420">
        <v>14</v>
      </c>
      <c r="G1420" s="1">
        <v>34800</v>
      </c>
      <c r="H1420" s="1">
        <v>34200</v>
      </c>
      <c r="I1420" s="1">
        <v>91075</v>
      </c>
      <c r="J1420" s="1">
        <v>2663</v>
      </c>
    </row>
    <row r="1421" spans="1:10" x14ac:dyDescent="0.3">
      <c r="A1421" t="s">
        <v>195</v>
      </c>
      <c r="B1421" t="s">
        <v>8</v>
      </c>
      <c r="C1421" t="s">
        <v>193</v>
      </c>
      <c r="D1421" t="s">
        <v>62</v>
      </c>
      <c r="E1421">
        <v>86</v>
      </c>
      <c r="F1421">
        <v>14</v>
      </c>
      <c r="G1421" s="1">
        <v>44950</v>
      </c>
      <c r="H1421" s="1">
        <v>44370</v>
      </c>
      <c r="I1421" s="1">
        <v>137547</v>
      </c>
      <c r="J1421" s="1">
        <v>3100</v>
      </c>
    </row>
    <row r="1422" spans="1:10" x14ac:dyDescent="0.3">
      <c r="A1422" t="s">
        <v>195</v>
      </c>
      <c r="B1422" t="s">
        <v>7</v>
      </c>
      <c r="C1422" t="s">
        <v>193</v>
      </c>
      <c r="D1422" t="s">
        <v>62</v>
      </c>
      <c r="E1422">
        <v>86</v>
      </c>
      <c r="F1422">
        <v>14</v>
      </c>
      <c r="G1422" s="1">
        <v>27950</v>
      </c>
      <c r="H1422" s="1">
        <v>27950</v>
      </c>
      <c r="I1422" s="1">
        <v>89440</v>
      </c>
      <c r="J1422" s="1">
        <v>3200</v>
      </c>
    </row>
    <row r="1423" spans="1:10" x14ac:dyDescent="0.3">
      <c r="A1423" t="s">
        <v>195</v>
      </c>
      <c r="B1423" t="s">
        <v>6</v>
      </c>
      <c r="C1423" t="s">
        <v>193</v>
      </c>
      <c r="D1423" t="s">
        <v>62</v>
      </c>
      <c r="E1423">
        <v>86</v>
      </c>
      <c r="F1423">
        <v>14</v>
      </c>
      <c r="G1423" s="1">
        <v>25155</v>
      </c>
      <c r="H1423" s="1">
        <v>25155</v>
      </c>
      <c r="I1423" s="1">
        <v>80496</v>
      </c>
      <c r="J1423" s="1">
        <v>3200</v>
      </c>
    </row>
    <row r="1424" spans="1:10" x14ac:dyDescent="0.3">
      <c r="A1424" t="s">
        <v>195</v>
      </c>
      <c r="B1424" t="s">
        <v>5</v>
      </c>
      <c r="C1424" t="s">
        <v>193</v>
      </c>
      <c r="D1424" t="s">
        <v>62</v>
      </c>
      <c r="E1424">
        <v>86</v>
      </c>
      <c r="F1424">
        <v>14</v>
      </c>
      <c r="G1424" s="1">
        <v>18155</v>
      </c>
      <c r="H1424" s="1">
        <v>18155</v>
      </c>
      <c r="I1424" s="1">
        <v>47203</v>
      </c>
      <c r="J1424" s="1">
        <v>2600</v>
      </c>
    </row>
    <row r="1425" spans="1:10" x14ac:dyDescent="0.3">
      <c r="A1425" t="s">
        <v>195</v>
      </c>
      <c r="B1425" t="s">
        <v>4</v>
      </c>
      <c r="C1425" t="s">
        <v>193</v>
      </c>
      <c r="D1425" t="s">
        <v>62</v>
      </c>
      <c r="E1425">
        <v>86</v>
      </c>
      <c r="F1425">
        <v>14</v>
      </c>
      <c r="G1425" s="1">
        <v>12500</v>
      </c>
      <c r="H1425" s="1">
        <v>12500</v>
      </c>
      <c r="I1425" s="1">
        <v>18750</v>
      </c>
      <c r="J1425" s="1">
        <v>1500</v>
      </c>
    </row>
    <row r="1426" spans="1:10" x14ac:dyDescent="0.3">
      <c r="A1426" t="s">
        <v>195</v>
      </c>
      <c r="B1426" t="s">
        <v>3</v>
      </c>
      <c r="C1426" t="s">
        <v>193</v>
      </c>
      <c r="D1426" t="s">
        <v>62</v>
      </c>
      <c r="E1426">
        <v>86</v>
      </c>
      <c r="F1426">
        <v>14</v>
      </c>
      <c r="G1426" s="1">
        <v>13700</v>
      </c>
      <c r="H1426" s="1">
        <v>9860</v>
      </c>
      <c r="I1426" s="1">
        <v>6902</v>
      </c>
      <c r="J1426" s="1">
        <v>700</v>
      </c>
    </row>
    <row r="1427" spans="1:10" x14ac:dyDescent="0.3">
      <c r="A1427" t="s">
        <v>195</v>
      </c>
      <c r="B1427" t="s">
        <v>18</v>
      </c>
      <c r="C1427" t="s">
        <v>193</v>
      </c>
      <c r="D1427" t="s">
        <v>44</v>
      </c>
      <c r="E1427">
        <v>86</v>
      </c>
      <c r="F1427">
        <v>35</v>
      </c>
      <c r="G1427" s="1">
        <v>2375</v>
      </c>
      <c r="H1427" s="1">
        <v>2375</v>
      </c>
      <c r="I1427" s="1">
        <v>5937</v>
      </c>
      <c r="J1427" s="1">
        <v>2500</v>
      </c>
    </row>
    <row r="1428" spans="1:10" x14ac:dyDescent="0.3">
      <c r="A1428" t="s">
        <v>195</v>
      </c>
      <c r="B1428" t="s">
        <v>17</v>
      </c>
      <c r="C1428" t="s">
        <v>193</v>
      </c>
      <c r="D1428" t="s">
        <v>44</v>
      </c>
      <c r="E1428">
        <v>86</v>
      </c>
      <c r="F1428">
        <v>35</v>
      </c>
      <c r="G1428" s="1">
        <v>950</v>
      </c>
      <c r="H1428" s="1">
        <v>950</v>
      </c>
      <c r="I1428" s="1">
        <v>2090</v>
      </c>
      <c r="J1428" s="1">
        <v>2200</v>
      </c>
    </row>
    <row r="1429" spans="1:10" x14ac:dyDescent="0.3">
      <c r="A1429" t="s">
        <v>195</v>
      </c>
      <c r="B1429" t="s">
        <v>14</v>
      </c>
      <c r="C1429" t="s">
        <v>193</v>
      </c>
      <c r="D1429" t="s">
        <v>44</v>
      </c>
      <c r="E1429">
        <v>86</v>
      </c>
      <c r="F1429">
        <v>35</v>
      </c>
      <c r="G1429" s="1">
        <v>950</v>
      </c>
      <c r="H1429" s="1">
        <v>950</v>
      </c>
      <c r="I1429" s="1">
        <v>2850</v>
      </c>
      <c r="J1429" s="1">
        <v>3000</v>
      </c>
    </row>
    <row r="1430" spans="1:10" x14ac:dyDescent="0.3">
      <c r="A1430" t="s">
        <v>195</v>
      </c>
      <c r="B1430" t="s">
        <v>12</v>
      </c>
      <c r="C1430" t="s">
        <v>193</v>
      </c>
      <c r="D1430" t="s">
        <v>44</v>
      </c>
      <c r="E1430">
        <v>86</v>
      </c>
      <c r="F1430">
        <v>35</v>
      </c>
      <c r="G1430" s="1">
        <v>2375</v>
      </c>
      <c r="H1430" s="1">
        <v>2375</v>
      </c>
      <c r="I1430" s="1">
        <v>5937</v>
      </c>
      <c r="J1430" s="1">
        <v>2500</v>
      </c>
    </row>
    <row r="1431" spans="1:10" x14ac:dyDescent="0.3">
      <c r="A1431" t="s">
        <v>195</v>
      </c>
      <c r="B1431" t="s">
        <v>8</v>
      </c>
      <c r="C1431" t="s">
        <v>193</v>
      </c>
      <c r="D1431" t="s">
        <v>44</v>
      </c>
      <c r="E1431">
        <v>86</v>
      </c>
      <c r="F1431">
        <v>35</v>
      </c>
      <c r="G1431" s="1">
        <v>1000</v>
      </c>
      <c r="H1431" s="1">
        <v>1000</v>
      </c>
      <c r="I1431" s="1">
        <v>3000</v>
      </c>
      <c r="J1431" s="1">
        <v>3000</v>
      </c>
    </row>
    <row r="1432" spans="1:10" x14ac:dyDescent="0.3">
      <c r="A1432" t="s">
        <v>195</v>
      </c>
      <c r="B1432" t="s">
        <v>7</v>
      </c>
      <c r="C1432" t="s">
        <v>193</v>
      </c>
      <c r="D1432" t="s">
        <v>44</v>
      </c>
      <c r="E1432">
        <v>86</v>
      </c>
      <c r="F1432">
        <v>35</v>
      </c>
      <c r="G1432" s="1">
        <v>1000</v>
      </c>
      <c r="H1432" s="1">
        <v>1000</v>
      </c>
      <c r="I1432" s="1">
        <v>3000</v>
      </c>
      <c r="J1432" s="1">
        <v>3000</v>
      </c>
    </row>
    <row r="1433" spans="1:10" x14ac:dyDescent="0.3">
      <c r="A1433" t="s">
        <v>195</v>
      </c>
      <c r="B1433" t="s">
        <v>6</v>
      </c>
      <c r="C1433" t="s">
        <v>193</v>
      </c>
      <c r="D1433" t="s">
        <v>44</v>
      </c>
      <c r="E1433">
        <v>86</v>
      </c>
      <c r="F1433">
        <v>35</v>
      </c>
      <c r="G1433" s="1">
        <v>1000</v>
      </c>
      <c r="H1433" s="1">
        <v>1000</v>
      </c>
      <c r="I1433" s="1">
        <v>2500</v>
      </c>
      <c r="J1433" s="1">
        <v>2500</v>
      </c>
    </row>
    <row r="1434" spans="1:10" x14ac:dyDescent="0.3">
      <c r="A1434" t="s">
        <v>195</v>
      </c>
      <c r="B1434" t="s">
        <v>5</v>
      </c>
      <c r="C1434" t="s">
        <v>193</v>
      </c>
      <c r="D1434" t="s">
        <v>44</v>
      </c>
      <c r="E1434">
        <v>86</v>
      </c>
      <c r="F1434">
        <v>35</v>
      </c>
      <c r="G1434" s="1">
        <v>1000</v>
      </c>
      <c r="H1434" s="1">
        <v>1000</v>
      </c>
      <c r="I1434" s="1">
        <v>1500</v>
      </c>
      <c r="J1434" s="1">
        <v>1500</v>
      </c>
    </row>
    <row r="1435" spans="1:10" x14ac:dyDescent="0.3">
      <c r="A1435" t="s">
        <v>195</v>
      </c>
      <c r="B1435" t="s">
        <v>4</v>
      </c>
      <c r="C1435" t="s">
        <v>193</v>
      </c>
      <c r="D1435" t="s">
        <v>44</v>
      </c>
      <c r="E1435">
        <v>86</v>
      </c>
      <c r="F1435">
        <v>35</v>
      </c>
      <c r="G1435" s="1">
        <v>1000</v>
      </c>
      <c r="H1435" s="1">
        <v>1000</v>
      </c>
      <c r="I1435" s="1">
        <v>2900</v>
      </c>
      <c r="J1435" s="1">
        <v>2900</v>
      </c>
    </row>
    <row r="1436" spans="1:10" x14ac:dyDescent="0.3">
      <c r="A1436" t="s">
        <v>195</v>
      </c>
      <c r="B1436" t="s">
        <v>3</v>
      </c>
      <c r="C1436" t="s">
        <v>193</v>
      </c>
      <c r="D1436" t="s">
        <v>44</v>
      </c>
      <c r="E1436">
        <v>86</v>
      </c>
      <c r="F1436">
        <v>35</v>
      </c>
      <c r="G1436" s="1">
        <v>1200</v>
      </c>
      <c r="H1436" s="1">
        <v>1165</v>
      </c>
      <c r="I1436" s="1">
        <v>2447</v>
      </c>
      <c r="J1436" s="1">
        <v>2100</v>
      </c>
    </row>
    <row r="1437" spans="1:10" x14ac:dyDescent="0.3">
      <c r="A1437" t="s">
        <v>195</v>
      </c>
      <c r="B1437" t="s">
        <v>18</v>
      </c>
      <c r="C1437" t="s">
        <v>193</v>
      </c>
      <c r="D1437" t="s">
        <v>74</v>
      </c>
      <c r="E1437">
        <v>86</v>
      </c>
      <c r="F1437">
        <v>42</v>
      </c>
      <c r="G1437" s="1">
        <v>14250</v>
      </c>
      <c r="H1437" s="1">
        <v>10043</v>
      </c>
      <c r="I1437" s="1">
        <v>18077</v>
      </c>
      <c r="J1437" s="1">
        <v>1800</v>
      </c>
    </row>
    <row r="1438" spans="1:10" x14ac:dyDescent="0.3">
      <c r="A1438" t="s">
        <v>195</v>
      </c>
      <c r="B1438" t="s">
        <v>17</v>
      </c>
      <c r="C1438" t="s">
        <v>193</v>
      </c>
      <c r="D1438" t="s">
        <v>74</v>
      </c>
      <c r="E1438">
        <v>86</v>
      </c>
      <c r="F1438">
        <v>42</v>
      </c>
      <c r="G1438" s="1">
        <v>66196</v>
      </c>
      <c r="H1438" s="1">
        <v>60286</v>
      </c>
      <c r="I1438" s="1">
        <v>162771</v>
      </c>
      <c r="J1438" s="1">
        <v>2700</v>
      </c>
    </row>
    <row r="1439" spans="1:10" x14ac:dyDescent="0.3">
      <c r="A1439" t="s">
        <v>195</v>
      </c>
      <c r="B1439" t="s">
        <v>14</v>
      </c>
      <c r="C1439" t="s">
        <v>193</v>
      </c>
      <c r="D1439" t="s">
        <v>74</v>
      </c>
      <c r="E1439">
        <v>86</v>
      </c>
      <c r="F1439">
        <v>42</v>
      </c>
      <c r="G1439" s="1">
        <v>73530</v>
      </c>
      <c r="H1439" s="1">
        <v>72224</v>
      </c>
      <c r="I1439" s="1">
        <v>267227</v>
      </c>
      <c r="J1439" s="1">
        <v>3700</v>
      </c>
    </row>
    <row r="1440" spans="1:10" x14ac:dyDescent="0.3">
      <c r="A1440" t="s">
        <v>195</v>
      </c>
      <c r="B1440" t="s">
        <v>12</v>
      </c>
      <c r="C1440" t="s">
        <v>193</v>
      </c>
      <c r="D1440" t="s">
        <v>74</v>
      </c>
      <c r="E1440">
        <v>86</v>
      </c>
      <c r="F1440">
        <v>42</v>
      </c>
      <c r="G1440" s="1">
        <v>92701</v>
      </c>
      <c r="H1440" s="1">
        <v>92701</v>
      </c>
      <c r="I1440" s="1">
        <v>222482</v>
      </c>
      <c r="J1440" s="1">
        <v>2400</v>
      </c>
    </row>
    <row r="1441" spans="1:10" x14ac:dyDescent="0.3">
      <c r="A1441" t="s">
        <v>195</v>
      </c>
      <c r="B1441" t="s">
        <v>9</v>
      </c>
      <c r="C1441" t="s">
        <v>193</v>
      </c>
      <c r="D1441" t="s">
        <v>74</v>
      </c>
      <c r="E1441">
        <v>86</v>
      </c>
      <c r="F1441">
        <v>42</v>
      </c>
      <c r="G1441" s="1">
        <v>34800</v>
      </c>
      <c r="H1441" s="1">
        <v>30200</v>
      </c>
      <c r="I1441" s="1">
        <v>84560</v>
      </c>
      <c r="J1441" s="1">
        <v>2800</v>
      </c>
    </row>
    <row r="1442" spans="1:10" x14ac:dyDescent="0.3">
      <c r="A1442" t="s">
        <v>195</v>
      </c>
      <c r="B1442" t="s">
        <v>8</v>
      </c>
      <c r="C1442" t="s">
        <v>193</v>
      </c>
      <c r="D1442" t="s">
        <v>74</v>
      </c>
      <c r="E1442">
        <v>86</v>
      </c>
      <c r="F1442">
        <v>42</v>
      </c>
      <c r="G1442" s="1">
        <v>68500</v>
      </c>
      <c r="H1442" s="1">
        <v>68130</v>
      </c>
      <c r="I1442" s="1">
        <v>218016</v>
      </c>
      <c r="J1442" s="1">
        <v>3200</v>
      </c>
    </row>
    <row r="1443" spans="1:10" x14ac:dyDescent="0.3">
      <c r="A1443" t="s">
        <v>195</v>
      </c>
      <c r="B1443" t="s">
        <v>7</v>
      </c>
      <c r="C1443" t="s">
        <v>193</v>
      </c>
      <c r="D1443" t="s">
        <v>74</v>
      </c>
      <c r="E1443">
        <v>86</v>
      </c>
      <c r="F1443">
        <v>42</v>
      </c>
      <c r="G1443" s="1">
        <v>68500</v>
      </c>
      <c r="H1443" s="1">
        <v>68500</v>
      </c>
      <c r="I1443" s="1">
        <v>219200</v>
      </c>
      <c r="J1443" s="1">
        <v>3200</v>
      </c>
    </row>
    <row r="1444" spans="1:10" x14ac:dyDescent="0.3">
      <c r="A1444" t="s">
        <v>195</v>
      </c>
      <c r="B1444" t="s">
        <v>6</v>
      </c>
      <c r="C1444" t="s">
        <v>193</v>
      </c>
      <c r="D1444" t="s">
        <v>74</v>
      </c>
      <c r="E1444">
        <v>86</v>
      </c>
      <c r="F1444">
        <v>42</v>
      </c>
      <c r="G1444" s="1">
        <v>65075</v>
      </c>
      <c r="H1444" s="1">
        <v>65075</v>
      </c>
      <c r="I1444" s="1">
        <v>208240</v>
      </c>
      <c r="J1444" s="1">
        <v>3200</v>
      </c>
    </row>
    <row r="1445" spans="1:10" x14ac:dyDescent="0.3">
      <c r="A1445" t="s">
        <v>195</v>
      </c>
      <c r="B1445" t="s">
        <v>5</v>
      </c>
      <c r="C1445" t="s">
        <v>193</v>
      </c>
      <c r="D1445" t="s">
        <v>74</v>
      </c>
      <c r="E1445">
        <v>86</v>
      </c>
      <c r="F1445">
        <v>42</v>
      </c>
      <c r="G1445" s="1">
        <v>35850</v>
      </c>
      <c r="H1445" s="1">
        <v>35850</v>
      </c>
      <c r="I1445" s="1">
        <v>93210</v>
      </c>
      <c r="J1445" s="1">
        <v>2600</v>
      </c>
    </row>
    <row r="1446" spans="1:10" x14ac:dyDescent="0.3">
      <c r="A1446" t="s">
        <v>195</v>
      </c>
      <c r="B1446" t="s">
        <v>4</v>
      </c>
      <c r="C1446" t="s">
        <v>193</v>
      </c>
      <c r="D1446" t="s">
        <v>74</v>
      </c>
      <c r="E1446">
        <v>86</v>
      </c>
      <c r="F1446">
        <v>42</v>
      </c>
      <c r="G1446" s="1">
        <v>48000</v>
      </c>
      <c r="H1446" s="1">
        <v>48000</v>
      </c>
      <c r="I1446" s="1">
        <v>137280</v>
      </c>
      <c r="J1446" s="1">
        <v>2860</v>
      </c>
    </row>
    <row r="1447" spans="1:10" x14ac:dyDescent="0.3">
      <c r="A1447" t="s">
        <v>195</v>
      </c>
      <c r="B1447" t="s">
        <v>3</v>
      </c>
      <c r="C1447" t="s">
        <v>193</v>
      </c>
      <c r="D1447" t="s">
        <v>74</v>
      </c>
      <c r="E1447">
        <v>86</v>
      </c>
      <c r="F1447">
        <v>42</v>
      </c>
      <c r="G1447" s="1">
        <v>52300</v>
      </c>
      <c r="H1447" s="1">
        <v>48380</v>
      </c>
      <c r="I1447" s="1">
        <v>149978</v>
      </c>
      <c r="J1447" s="1">
        <v>3100</v>
      </c>
    </row>
    <row r="1448" spans="1:10" x14ac:dyDescent="0.3">
      <c r="A1448" t="s">
        <v>195</v>
      </c>
      <c r="B1448" t="s">
        <v>18</v>
      </c>
      <c r="C1448" t="s">
        <v>193</v>
      </c>
      <c r="D1448" t="s">
        <v>41</v>
      </c>
      <c r="E1448">
        <v>86</v>
      </c>
      <c r="F1448">
        <v>49</v>
      </c>
      <c r="G1448" s="1">
        <v>2375</v>
      </c>
      <c r="H1448" s="1">
        <v>2375</v>
      </c>
      <c r="I1448" s="1">
        <v>5937</v>
      </c>
      <c r="J1448" s="1">
        <v>2500</v>
      </c>
    </row>
    <row r="1449" spans="1:10" x14ac:dyDescent="0.3">
      <c r="A1449" t="s">
        <v>195</v>
      </c>
      <c r="B1449" t="s">
        <v>17</v>
      </c>
      <c r="C1449" t="s">
        <v>193</v>
      </c>
      <c r="D1449" t="s">
        <v>41</v>
      </c>
      <c r="E1449">
        <v>86</v>
      </c>
      <c r="F1449">
        <v>49</v>
      </c>
      <c r="G1449" s="1">
        <v>1235</v>
      </c>
      <c r="H1449" s="1">
        <v>1235</v>
      </c>
      <c r="I1449" s="1">
        <v>3334</v>
      </c>
      <c r="J1449" s="1">
        <v>2700</v>
      </c>
    </row>
    <row r="1450" spans="1:10" x14ac:dyDescent="0.3">
      <c r="A1450" t="s">
        <v>195</v>
      </c>
      <c r="B1450" t="s">
        <v>14</v>
      </c>
      <c r="C1450" t="s">
        <v>193</v>
      </c>
      <c r="D1450" t="s">
        <v>41</v>
      </c>
      <c r="E1450">
        <v>86</v>
      </c>
      <c r="F1450">
        <v>49</v>
      </c>
      <c r="G1450" s="1">
        <v>950</v>
      </c>
      <c r="H1450" s="1">
        <v>950</v>
      </c>
      <c r="I1450" s="1">
        <v>3325</v>
      </c>
      <c r="J1450" s="1">
        <v>3500</v>
      </c>
    </row>
    <row r="1451" spans="1:10" x14ac:dyDescent="0.3">
      <c r="A1451" t="s">
        <v>195</v>
      </c>
      <c r="B1451" t="s">
        <v>12</v>
      </c>
      <c r="C1451" t="s">
        <v>193</v>
      </c>
      <c r="D1451" t="s">
        <v>41</v>
      </c>
      <c r="E1451">
        <v>86</v>
      </c>
      <c r="F1451">
        <v>49</v>
      </c>
      <c r="G1451" s="1">
        <v>1900</v>
      </c>
      <c r="H1451" s="1">
        <v>1900</v>
      </c>
      <c r="I1451" s="1">
        <v>5320</v>
      </c>
      <c r="J1451" s="1">
        <v>2800</v>
      </c>
    </row>
    <row r="1452" spans="1:10" x14ac:dyDescent="0.3">
      <c r="A1452" t="s">
        <v>195</v>
      </c>
      <c r="B1452" t="s">
        <v>8</v>
      </c>
      <c r="C1452" t="s">
        <v>193</v>
      </c>
      <c r="D1452" t="s">
        <v>41</v>
      </c>
      <c r="E1452">
        <v>86</v>
      </c>
      <c r="F1452">
        <v>49</v>
      </c>
      <c r="G1452" s="1">
        <v>1000</v>
      </c>
      <c r="H1452" s="1">
        <v>1000</v>
      </c>
      <c r="I1452" s="1">
        <v>3000</v>
      </c>
      <c r="J1452" s="1">
        <v>3000</v>
      </c>
    </row>
    <row r="1453" spans="1:10" x14ac:dyDescent="0.3">
      <c r="A1453" t="s">
        <v>195</v>
      </c>
      <c r="B1453" t="s">
        <v>7</v>
      </c>
      <c r="C1453" t="s">
        <v>193</v>
      </c>
      <c r="D1453" t="s">
        <v>41</v>
      </c>
      <c r="E1453">
        <v>86</v>
      </c>
      <c r="F1453">
        <v>49</v>
      </c>
      <c r="G1453" s="1">
        <v>1000</v>
      </c>
      <c r="H1453" s="1">
        <v>1000</v>
      </c>
      <c r="I1453" s="1">
        <v>3000</v>
      </c>
      <c r="J1453" s="1">
        <v>3000</v>
      </c>
    </row>
    <row r="1454" spans="1:10" x14ac:dyDescent="0.3">
      <c r="A1454" t="s">
        <v>195</v>
      </c>
      <c r="B1454" t="s">
        <v>6</v>
      </c>
      <c r="C1454" t="s">
        <v>193</v>
      </c>
      <c r="D1454" t="s">
        <v>41</v>
      </c>
      <c r="E1454">
        <v>86</v>
      </c>
      <c r="F1454">
        <v>49</v>
      </c>
      <c r="G1454" s="1">
        <v>1000</v>
      </c>
      <c r="H1454" s="1">
        <v>1000</v>
      </c>
      <c r="I1454" s="1">
        <v>2500</v>
      </c>
      <c r="J1454" s="1">
        <v>2500</v>
      </c>
    </row>
    <row r="1455" spans="1:10" x14ac:dyDescent="0.3">
      <c r="A1455" t="s">
        <v>195</v>
      </c>
      <c r="B1455" t="s">
        <v>5</v>
      </c>
      <c r="C1455" t="s">
        <v>193</v>
      </c>
      <c r="D1455" t="s">
        <v>41</v>
      </c>
      <c r="E1455">
        <v>86</v>
      </c>
      <c r="F1455">
        <v>49</v>
      </c>
      <c r="G1455" s="1">
        <v>1000</v>
      </c>
      <c r="H1455" s="1">
        <v>1000</v>
      </c>
      <c r="I1455" s="1">
        <v>1500</v>
      </c>
      <c r="J1455" s="1">
        <v>1500</v>
      </c>
    </row>
    <row r="1456" spans="1:10" x14ac:dyDescent="0.3">
      <c r="A1456" t="s">
        <v>195</v>
      </c>
      <c r="B1456" t="s">
        <v>4</v>
      </c>
      <c r="C1456" t="s">
        <v>193</v>
      </c>
      <c r="D1456" t="s">
        <v>41</v>
      </c>
      <c r="E1456">
        <v>86</v>
      </c>
      <c r="F1456">
        <v>49</v>
      </c>
      <c r="G1456" s="1">
        <v>1000</v>
      </c>
      <c r="H1456" s="1">
        <v>1000</v>
      </c>
      <c r="I1456" s="1">
        <v>3000</v>
      </c>
      <c r="J1456" s="1">
        <v>3000</v>
      </c>
    </row>
    <row r="1457" spans="1:10" x14ac:dyDescent="0.3">
      <c r="A1457" t="s">
        <v>195</v>
      </c>
      <c r="B1457" t="s">
        <v>3</v>
      </c>
      <c r="C1457" t="s">
        <v>193</v>
      </c>
      <c r="D1457" t="s">
        <v>41</v>
      </c>
      <c r="E1457">
        <v>86</v>
      </c>
      <c r="F1457">
        <v>49</v>
      </c>
      <c r="G1457" s="1">
        <v>1200</v>
      </c>
      <c r="H1457" s="1">
        <v>1130</v>
      </c>
      <c r="I1457" s="1">
        <v>2825</v>
      </c>
      <c r="J1457" s="1">
        <v>2500</v>
      </c>
    </row>
    <row r="1458" spans="1:10" x14ac:dyDescent="0.3">
      <c r="A1458" t="s">
        <v>195</v>
      </c>
      <c r="B1458" t="s">
        <v>6</v>
      </c>
      <c r="C1458" t="s">
        <v>193</v>
      </c>
      <c r="D1458" t="s">
        <v>48</v>
      </c>
      <c r="E1458">
        <v>86</v>
      </c>
      <c r="F1458">
        <v>63</v>
      </c>
      <c r="G1458" s="1">
        <v>1000</v>
      </c>
      <c r="H1458" s="1">
        <v>1000</v>
      </c>
      <c r="I1458" s="1">
        <v>2500</v>
      </c>
      <c r="J1458" s="1">
        <v>2500</v>
      </c>
    </row>
    <row r="1459" spans="1:10" x14ac:dyDescent="0.3">
      <c r="A1459" t="s">
        <v>195</v>
      </c>
      <c r="B1459" t="s">
        <v>5</v>
      </c>
      <c r="C1459" t="s">
        <v>193</v>
      </c>
      <c r="D1459" t="s">
        <v>48</v>
      </c>
      <c r="E1459">
        <v>86</v>
      </c>
      <c r="F1459">
        <v>63</v>
      </c>
      <c r="G1459" s="1">
        <v>1000</v>
      </c>
      <c r="H1459" s="1">
        <v>1000</v>
      </c>
      <c r="I1459" s="1">
        <v>1500</v>
      </c>
      <c r="J1459" s="1">
        <v>1500</v>
      </c>
    </row>
    <row r="1460" spans="1:10" x14ac:dyDescent="0.3">
      <c r="A1460" t="s">
        <v>195</v>
      </c>
      <c r="B1460" t="s">
        <v>4</v>
      </c>
      <c r="C1460" t="s">
        <v>193</v>
      </c>
      <c r="D1460" t="s">
        <v>48</v>
      </c>
      <c r="E1460">
        <v>86</v>
      </c>
      <c r="F1460">
        <v>63</v>
      </c>
      <c r="G1460" s="1">
        <v>1000</v>
      </c>
      <c r="H1460" s="1">
        <v>1000</v>
      </c>
      <c r="I1460" s="1">
        <v>3100</v>
      </c>
      <c r="J1460" s="1">
        <v>3100</v>
      </c>
    </row>
    <row r="1461" spans="1:10" x14ac:dyDescent="0.3">
      <c r="A1461" t="s">
        <v>195</v>
      </c>
      <c r="B1461" t="s">
        <v>3</v>
      </c>
      <c r="C1461" t="s">
        <v>193</v>
      </c>
      <c r="D1461" t="s">
        <v>48</v>
      </c>
      <c r="E1461">
        <v>86</v>
      </c>
      <c r="F1461">
        <v>63</v>
      </c>
      <c r="G1461" s="1">
        <v>1200</v>
      </c>
      <c r="H1461" s="1">
        <v>1150</v>
      </c>
      <c r="I1461" s="1">
        <v>2875</v>
      </c>
      <c r="J1461" s="1">
        <v>2500</v>
      </c>
    </row>
    <row r="1462" spans="1:10" x14ac:dyDescent="0.3">
      <c r="A1462" t="s">
        <v>195</v>
      </c>
      <c r="B1462" t="s">
        <v>9</v>
      </c>
      <c r="C1462" t="s">
        <v>193</v>
      </c>
      <c r="D1462" t="s">
        <v>51</v>
      </c>
      <c r="E1462">
        <v>86</v>
      </c>
      <c r="F1462">
        <v>56</v>
      </c>
      <c r="G1462" s="1">
        <v>1800</v>
      </c>
      <c r="H1462" s="1">
        <v>1800</v>
      </c>
      <c r="I1462" s="1">
        <v>4860</v>
      </c>
      <c r="J1462" s="1">
        <v>2700</v>
      </c>
    </row>
    <row r="1463" spans="1:10" x14ac:dyDescent="0.3">
      <c r="A1463" t="s">
        <v>195</v>
      </c>
      <c r="B1463" t="s">
        <v>8</v>
      </c>
      <c r="C1463" t="s">
        <v>193</v>
      </c>
      <c r="D1463" t="s">
        <v>51</v>
      </c>
      <c r="E1463">
        <v>86</v>
      </c>
      <c r="F1463">
        <v>56</v>
      </c>
      <c r="G1463" s="1">
        <v>1220</v>
      </c>
      <c r="H1463" s="1">
        <v>1140</v>
      </c>
      <c r="I1463" s="1">
        <v>3420</v>
      </c>
      <c r="J1463" s="1">
        <v>3000</v>
      </c>
    </row>
    <row r="1464" spans="1:10" x14ac:dyDescent="0.3">
      <c r="A1464" t="s">
        <v>195</v>
      </c>
      <c r="B1464" t="s">
        <v>7</v>
      </c>
      <c r="C1464" t="s">
        <v>193</v>
      </c>
      <c r="D1464" t="s">
        <v>51</v>
      </c>
      <c r="E1464">
        <v>86</v>
      </c>
      <c r="F1464">
        <v>56</v>
      </c>
      <c r="G1464" s="1">
        <v>700</v>
      </c>
      <c r="H1464" s="1">
        <v>700</v>
      </c>
      <c r="I1464" s="1">
        <v>2100</v>
      </c>
      <c r="J1464" s="1">
        <v>3000</v>
      </c>
    </row>
    <row r="1465" spans="1:10" x14ac:dyDescent="0.3">
      <c r="A1465" t="s">
        <v>195</v>
      </c>
      <c r="B1465" t="s">
        <v>6</v>
      </c>
      <c r="C1465" t="s">
        <v>193</v>
      </c>
      <c r="D1465" t="s">
        <v>51</v>
      </c>
      <c r="E1465">
        <v>86</v>
      </c>
      <c r="F1465">
        <v>56</v>
      </c>
      <c r="G1465" s="1">
        <v>700</v>
      </c>
      <c r="H1465" s="1">
        <v>700</v>
      </c>
      <c r="I1465" s="1">
        <v>2030</v>
      </c>
      <c r="J1465" s="1">
        <v>2900</v>
      </c>
    </row>
    <row r="1466" spans="1:10" x14ac:dyDescent="0.3">
      <c r="A1466" t="s">
        <v>195</v>
      </c>
      <c r="B1466" t="s">
        <v>5</v>
      </c>
      <c r="C1466" t="s">
        <v>193</v>
      </c>
      <c r="D1466" t="s">
        <v>51</v>
      </c>
      <c r="E1466">
        <v>86</v>
      </c>
      <c r="F1466">
        <v>56</v>
      </c>
      <c r="G1466" s="1">
        <v>700</v>
      </c>
      <c r="H1466" s="1">
        <v>700</v>
      </c>
      <c r="I1466" s="1">
        <v>1680</v>
      </c>
      <c r="J1466" s="1">
        <v>2400</v>
      </c>
    </row>
    <row r="1467" spans="1:10" x14ac:dyDescent="0.3">
      <c r="A1467" t="s">
        <v>195</v>
      </c>
      <c r="B1467" t="s">
        <v>4</v>
      </c>
      <c r="C1467" t="s">
        <v>193</v>
      </c>
      <c r="D1467" t="s">
        <v>51</v>
      </c>
      <c r="E1467">
        <v>86</v>
      </c>
      <c r="F1467">
        <v>56</v>
      </c>
      <c r="G1467" s="1">
        <v>1100</v>
      </c>
      <c r="H1467" s="1">
        <v>1100</v>
      </c>
      <c r="I1467" s="1">
        <v>2222</v>
      </c>
      <c r="J1467" s="1">
        <v>2020</v>
      </c>
    </row>
    <row r="1468" spans="1:10" x14ac:dyDescent="0.3">
      <c r="A1468" t="s">
        <v>195</v>
      </c>
      <c r="B1468" t="s">
        <v>3</v>
      </c>
      <c r="C1468" t="s">
        <v>193</v>
      </c>
      <c r="D1468" t="s">
        <v>51</v>
      </c>
      <c r="E1468">
        <v>86</v>
      </c>
      <c r="F1468">
        <v>56</v>
      </c>
      <c r="G1468" s="1">
        <v>1300</v>
      </c>
      <c r="H1468" s="1">
        <v>1020</v>
      </c>
      <c r="I1468" s="1">
        <v>1020</v>
      </c>
      <c r="J1468" s="1">
        <v>1000</v>
      </c>
    </row>
    <row r="1469" spans="1:10" x14ac:dyDescent="0.3">
      <c r="A1469" t="s">
        <v>195</v>
      </c>
      <c r="B1469" t="s">
        <v>18</v>
      </c>
      <c r="C1469" t="s">
        <v>193</v>
      </c>
      <c r="D1469" t="s">
        <v>38</v>
      </c>
      <c r="E1469">
        <v>86</v>
      </c>
      <c r="F1469">
        <v>70</v>
      </c>
      <c r="G1469" s="1">
        <v>475</v>
      </c>
      <c r="H1469" s="1">
        <v>475</v>
      </c>
      <c r="I1469" s="1">
        <v>855</v>
      </c>
      <c r="J1469" s="1">
        <v>1800</v>
      </c>
    </row>
    <row r="1470" spans="1:10" x14ac:dyDescent="0.3">
      <c r="A1470" t="s">
        <v>195</v>
      </c>
      <c r="B1470" t="s">
        <v>7</v>
      </c>
      <c r="C1470" t="s">
        <v>193</v>
      </c>
      <c r="D1470" t="s">
        <v>38</v>
      </c>
      <c r="E1470">
        <v>86</v>
      </c>
      <c r="F1470">
        <v>70</v>
      </c>
      <c r="G1470" s="1">
        <v>500</v>
      </c>
      <c r="H1470" s="1">
        <v>500</v>
      </c>
      <c r="I1470" s="1">
        <v>1500</v>
      </c>
      <c r="J1470" s="1">
        <v>3000</v>
      </c>
    </row>
    <row r="1471" spans="1:10" x14ac:dyDescent="0.3">
      <c r="A1471" t="s">
        <v>195</v>
      </c>
      <c r="B1471" t="s">
        <v>6</v>
      </c>
      <c r="C1471" t="s">
        <v>193</v>
      </c>
      <c r="D1471" t="s">
        <v>38</v>
      </c>
      <c r="E1471">
        <v>86</v>
      </c>
      <c r="F1471">
        <v>70</v>
      </c>
      <c r="G1471" s="1">
        <v>2500</v>
      </c>
      <c r="H1471" s="1">
        <v>2500</v>
      </c>
      <c r="I1471" s="1">
        <v>6250</v>
      </c>
      <c r="J1471" s="1">
        <v>2500</v>
      </c>
    </row>
    <row r="1472" spans="1:10" x14ac:dyDescent="0.3">
      <c r="A1472" t="s">
        <v>195</v>
      </c>
      <c r="B1472" t="s">
        <v>5</v>
      </c>
      <c r="C1472" t="s">
        <v>193</v>
      </c>
      <c r="D1472" t="s">
        <v>38</v>
      </c>
      <c r="E1472">
        <v>86</v>
      </c>
      <c r="F1472">
        <v>70</v>
      </c>
      <c r="G1472" s="1">
        <v>2500</v>
      </c>
      <c r="H1472" s="1">
        <v>2500</v>
      </c>
      <c r="I1472" s="1">
        <v>3750</v>
      </c>
      <c r="J1472" s="1">
        <v>1500</v>
      </c>
    </row>
    <row r="1473" spans="1:10" x14ac:dyDescent="0.3">
      <c r="A1473" t="s">
        <v>195</v>
      </c>
      <c r="B1473" t="s">
        <v>4</v>
      </c>
      <c r="C1473" t="s">
        <v>193</v>
      </c>
      <c r="D1473" t="s">
        <v>38</v>
      </c>
      <c r="E1473">
        <v>86</v>
      </c>
      <c r="F1473">
        <v>70</v>
      </c>
      <c r="G1473" s="1">
        <v>2500</v>
      </c>
      <c r="H1473" s="1">
        <v>2490</v>
      </c>
      <c r="I1473" s="1">
        <v>7470</v>
      </c>
      <c r="J1473" s="1">
        <v>3000</v>
      </c>
    </row>
    <row r="1474" spans="1:10" x14ac:dyDescent="0.3">
      <c r="A1474" t="s">
        <v>195</v>
      </c>
      <c r="B1474" t="s">
        <v>3</v>
      </c>
      <c r="C1474" t="s">
        <v>193</v>
      </c>
      <c r="D1474" t="s">
        <v>38</v>
      </c>
      <c r="E1474">
        <v>86</v>
      </c>
      <c r="F1474">
        <v>70</v>
      </c>
      <c r="G1474" s="1">
        <v>2750</v>
      </c>
      <c r="H1474" s="1">
        <v>2672</v>
      </c>
      <c r="I1474" s="1">
        <v>6146</v>
      </c>
      <c r="J1474" s="1">
        <v>2300</v>
      </c>
    </row>
    <row r="1475" spans="1:10" x14ac:dyDescent="0.3">
      <c r="A1475" t="s">
        <v>195</v>
      </c>
      <c r="B1475" t="s">
        <v>18</v>
      </c>
      <c r="C1475" t="s">
        <v>193</v>
      </c>
      <c r="D1475" t="s">
        <v>75</v>
      </c>
      <c r="E1475">
        <v>86</v>
      </c>
      <c r="F1475">
        <v>77</v>
      </c>
      <c r="G1475" s="1">
        <v>18050</v>
      </c>
      <c r="H1475" s="1">
        <v>12913</v>
      </c>
      <c r="I1475" s="1">
        <v>29699</v>
      </c>
      <c r="J1475" s="1">
        <v>2300</v>
      </c>
    </row>
    <row r="1476" spans="1:10" x14ac:dyDescent="0.3">
      <c r="A1476" t="s">
        <v>195</v>
      </c>
      <c r="B1476" t="s">
        <v>17</v>
      </c>
      <c r="C1476" t="s">
        <v>193</v>
      </c>
      <c r="D1476" t="s">
        <v>75</v>
      </c>
      <c r="E1476">
        <v>86</v>
      </c>
      <c r="F1476">
        <v>77</v>
      </c>
      <c r="G1476" s="1">
        <v>83951</v>
      </c>
      <c r="H1476" s="1">
        <v>75556</v>
      </c>
      <c r="I1476" s="1">
        <v>204002</v>
      </c>
      <c r="J1476" s="1">
        <v>2700</v>
      </c>
    </row>
    <row r="1477" spans="1:10" x14ac:dyDescent="0.3">
      <c r="A1477" t="s">
        <v>195</v>
      </c>
      <c r="B1477" t="s">
        <v>14</v>
      </c>
      <c r="C1477" t="s">
        <v>193</v>
      </c>
      <c r="D1477" t="s">
        <v>75</v>
      </c>
      <c r="E1477">
        <v>86</v>
      </c>
      <c r="F1477">
        <v>77</v>
      </c>
      <c r="G1477" s="1">
        <v>80750</v>
      </c>
      <c r="H1477" s="1">
        <v>79388</v>
      </c>
      <c r="I1477" s="1">
        <v>309614</v>
      </c>
      <c r="J1477" s="1">
        <v>3900</v>
      </c>
    </row>
    <row r="1478" spans="1:10" x14ac:dyDescent="0.3">
      <c r="A1478" t="s">
        <v>195</v>
      </c>
      <c r="B1478" t="s">
        <v>12</v>
      </c>
      <c r="C1478" t="s">
        <v>193</v>
      </c>
      <c r="D1478" t="s">
        <v>75</v>
      </c>
      <c r="E1478">
        <v>86</v>
      </c>
      <c r="F1478">
        <v>77</v>
      </c>
      <c r="G1478" s="1">
        <v>159068</v>
      </c>
      <c r="H1478" s="1">
        <v>159068</v>
      </c>
      <c r="I1478" s="1">
        <v>429484</v>
      </c>
      <c r="J1478" s="1">
        <v>2700</v>
      </c>
    </row>
    <row r="1479" spans="1:10" x14ac:dyDescent="0.3">
      <c r="A1479" t="s">
        <v>195</v>
      </c>
      <c r="B1479" t="s">
        <v>9</v>
      </c>
      <c r="C1479" t="s">
        <v>193</v>
      </c>
      <c r="D1479" t="s">
        <v>75</v>
      </c>
      <c r="E1479">
        <v>86</v>
      </c>
      <c r="F1479">
        <v>77</v>
      </c>
      <c r="G1479" s="1">
        <v>61000</v>
      </c>
      <c r="H1479" s="1">
        <v>57800</v>
      </c>
      <c r="I1479" s="1">
        <v>158950</v>
      </c>
      <c r="J1479" s="1">
        <v>2750</v>
      </c>
    </row>
    <row r="1480" spans="1:10" x14ac:dyDescent="0.3">
      <c r="A1480" t="s">
        <v>195</v>
      </c>
      <c r="B1480" t="s">
        <v>8</v>
      </c>
      <c r="C1480" t="s">
        <v>193</v>
      </c>
      <c r="D1480" t="s">
        <v>75</v>
      </c>
      <c r="E1480">
        <v>86</v>
      </c>
      <c r="F1480">
        <v>77</v>
      </c>
      <c r="G1480" s="1">
        <v>128210</v>
      </c>
      <c r="H1480" s="1">
        <v>127920</v>
      </c>
      <c r="I1480" s="1">
        <v>409344</v>
      </c>
      <c r="J1480" s="1">
        <v>3200</v>
      </c>
    </row>
    <row r="1481" spans="1:10" x14ac:dyDescent="0.3">
      <c r="A1481" t="s">
        <v>195</v>
      </c>
      <c r="B1481" t="s">
        <v>7</v>
      </c>
      <c r="C1481" t="s">
        <v>193</v>
      </c>
      <c r="D1481" t="s">
        <v>75</v>
      </c>
      <c r="E1481">
        <v>86</v>
      </c>
      <c r="F1481">
        <v>77</v>
      </c>
      <c r="G1481" s="1">
        <v>128000</v>
      </c>
      <c r="H1481" s="1">
        <v>128000</v>
      </c>
      <c r="I1481" s="1">
        <v>435200</v>
      </c>
      <c r="J1481" s="1">
        <v>3400</v>
      </c>
    </row>
    <row r="1482" spans="1:10" x14ac:dyDescent="0.3">
      <c r="A1482" t="s">
        <v>195</v>
      </c>
      <c r="B1482" t="s">
        <v>6</v>
      </c>
      <c r="C1482" t="s">
        <v>193</v>
      </c>
      <c r="D1482" t="s">
        <v>75</v>
      </c>
      <c r="E1482">
        <v>86</v>
      </c>
      <c r="F1482">
        <v>77</v>
      </c>
      <c r="G1482" s="1">
        <v>128000</v>
      </c>
      <c r="H1482" s="1">
        <v>128000</v>
      </c>
      <c r="I1482" s="1">
        <v>409600</v>
      </c>
      <c r="J1482" s="1">
        <v>3200</v>
      </c>
    </row>
    <row r="1483" spans="1:10" x14ac:dyDescent="0.3">
      <c r="A1483" t="s">
        <v>195</v>
      </c>
      <c r="B1483" t="s">
        <v>5</v>
      </c>
      <c r="C1483" t="s">
        <v>193</v>
      </c>
      <c r="D1483" t="s">
        <v>75</v>
      </c>
      <c r="E1483">
        <v>86</v>
      </c>
      <c r="F1483">
        <v>77</v>
      </c>
      <c r="G1483" s="1">
        <v>73500</v>
      </c>
      <c r="H1483" s="1">
        <v>73500</v>
      </c>
      <c r="I1483" s="1">
        <v>183750</v>
      </c>
      <c r="J1483" s="1">
        <v>2500</v>
      </c>
    </row>
    <row r="1484" spans="1:10" x14ac:dyDescent="0.3">
      <c r="A1484" t="s">
        <v>195</v>
      </c>
      <c r="B1484" t="s">
        <v>4</v>
      </c>
      <c r="C1484" t="s">
        <v>193</v>
      </c>
      <c r="D1484" t="s">
        <v>75</v>
      </c>
      <c r="E1484">
        <v>86</v>
      </c>
      <c r="F1484">
        <v>77</v>
      </c>
      <c r="G1484" s="1">
        <v>86400</v>
      </c>
      <c r="H1484" s="1">
        <v>86400</v>
      </c>
      <c r="I1484" s="1">
        <v>241920</v>
      </c>
      <c r="J1484" s="1">
        <v>2800</v>
      </c>
    </row>
    <row r="1485" spans="1:10" x14ac:dyDescent="0.3">
      <c r="A1485" t="s">
        <v>195</v>
      </c>
      <c r="B1485" t="s">
        <v>3</v>
      </c>
      <c r="C1485" t="s">
        <v>193</v>
      </c>
      <c r="D1485" t="s">
        <v>75</v>
      </c>
      <c r="E1485">
        <v>86</v>
      </c>
      <c r="F1485">
        <v>77</v>
      </c>
      <c r="G1485" s="1">
        <v>94250</v>
      </c>
      <c r="H1485" s="1">
        <v>90020</v>
      </c>
      <c r="I1485" s="1">
        <v>279062</v>
      </c>
      <c r="J1485" s="1">
        <v>3100</v>
      </c>
    </row>
    <row r="1486" spans="1:10" x14ac:dyDescent="0.3">
      <c r="A1486" t="s">
        <v>195</v>
      </c>
      <c r="B1486" t="s">
        <v>18</v>
      </c>
      <c r="C1486" t="s">
        <v>193</v>
      </c>
      <c r="D1486" t="s">
        <v>54</v>
      </c>
      <c r="E1486">
        <v>86</v>
      </c>
      <c r="F1486">
        <v>84</v>
      </c>
      <c r="G1486" s="1">
        <v>475</v>
      </c>
      <c r="H1486" s="1">
        <v>475</v>
      </c>
      <c r="I1486" s="1">
        <v>1187</v>
      </c>
      <c r="J1486" s="1">
        <v>2499</v>
      </c>
    </row>
    <row r="1487" spans="1:10" x14ac:dyDescent="0.3">
      <c r="A1487" t="s">
        <v>195</v>
      </c>
      <c r="B1487" t="s">
        <v>14</v>
      </c>
      <c r="C1487" t="s">
        <v>193</v>
      </c>
      <c r="D1487" t="s">
        <v>54</v>
      </c>
      <c r="E1487">
        <v>86</v>
      </c>
      <c r="F1487">
        <v>84</v>
      </c>
      <c r="G1487" s="1">
        <v>2375</v>
      </c>
      <c r="H1487" s="1">
        <v>2375</v>
      </c>
      <c r="I1487" s="1">
        <v>7125</v>
      </c>
      <c r="J1487" s="1">
        <v>3000</v>
      </c>
    </row>
    <row r="1488" spans="1:10" x14ac:dyDescent="0.3">
      <c r="A1488" t="s">
        <v>195</v>
      </c>
      <c r="B1488" t="s">
        <v>12</v>
      </c>
      <c r="C1488" t="s">
        <v>193</v>
      </c>
      <c r="D1488" t="s">
        <v>54</v>
      </c>
      <c r="E1488">
        <v>86</v>
      </c>
      <c r="F1488">
        <v>84</v>
      </c>
      <c r="G1488" s="1">
        <v>2375</v>
      </c>
      <c r="H1488" s="1">
        <v>2375</v>
      </c>
      <c r="I1488" s="1">
        <v>5937</v>
      </c>
      <c r="J1488" s="1">
        <v>2500</v>
      </c>
    </row>
    <row r="1489" spans="1:10" x14ac:dyDescent="0.3">
      <c r="A1489" t="s">
        <v>195</v>
      </c>
      <c r="B1489" t="s">
        <v>8</v>
      </c>
      <c r="C1489" t="s">
        <v>193</v>
      </c>
      <c r="D1489" t="s">
        <v>54</v>
      </c>
      <c r="E1489">
        <v>86</v>
      </c>
      <c r="F1489">
        <v>84</v>
      </c>
      <c r="G1489" s="1">
        <v>1500</v>
      </c>
      <c r="H1489" s="1">
        <v>1500</v>
      </c>
      <c r="I1489" s="1">
        <v>4500</v>
      </c>
      <c r="J1489" s="1">
        <v>3000</v>
      </c>
    </row>
    <row r="1490" spans="1:10" x14ac:dyDescent="0.3">
      <c r="A1490" t="s">
        <v>195</v>
      </c>
      <c r="B1490" t="s">
        <v>7</v>
      </c>
      <c r="C1490" t="s">
        <v>193</v>
      </c>
      <c r="D1490" t="s">
        <v>54</v>
      </c>
      <c r="E1490">
        <v>86</v>
      </c>
      <c r="F1490">
        <v>84</v>
      </c>
      <c r="G1490" s="1">
        <v>1500</v>
      </c>
      <c r="H1490" s="1">
        <v>1500</v>
      </c>
      <c r="I1490" s="1">
        <v>4500</v>
      </c>
      <c r="J1490" s="1">
        <v>3000</v>
      </c>
    </row>
    <row r="1491" spans="1:10" x14ac:dyDescent="0.3">
      <c r="A1491" t="s">
        <v>195</v>
      </c>
      <c r="B1491" t="s">
        <v>6</v>
      </c>
      <c r="C1491" t="s">
        <v>193</v>
      </c>
      <c r="D1491" t="s">
        <v>54</v>
      </c>
      <c r="E1491">
        <v>86</v>
      </c>
      <c r="F1491">
        <v>84</v>
      </c>
      <c r="G1491" s="1">
        <v>4000</v>
      </c>
      <c r="H1491" s="1">
        <v>4000</v>
      </c>
      <c r="I1491" s="1">
        <v>10000</v>
      </c>
      <c r="J1491" s="1">
        <v>2500</v>
      </c>
    </row>
    <row r="1492" spans="1:10" x14ac:dyDescent="0.3">
      <c r="A1492" t="s">
        <v>195</v>
      </c>
      <c r="B1492" t="s">
        <v>5</v>
      </c>
      <c r="C1492" t="s">
        <v>193</v>
      </c>
      <c r="D1492" t="s">
        <v>54</v>
      </c>
      <c r="E1492">
        <v>86</v>
      </c>
      <c r="F1492">
        <v>84</v>
      </c>
      <c r="G1492" s="1">
        <v>4000</v>
      </c>
      <c r="H1492" s="1">
        <v>4000</v>
      </c>
      <c r="I1492" s="1">
        <v>6000</v>
      </c>
      <c r="J1492" s="1">
        <v>1500</v>
      </c>
    </row>
    <row r="1493" spans="1:10" x14ac:dyDescent="0.3">
      <c r="A1493" t="s">
        <v>195</v>
      </c>
      <c r="B1493" t="s">
        <v>4</v>
      </c>
      <c r="C1493" t="s">
        <v>193</v>
      </c>
      <c r="D1493" t="s">
        <v>54</v>
      </c>
      <c r="E1493">
        <v>86</v>
      </c>
      <c r="F1493">
        <v>84</v>
      </c>
      <c r="G1493" s="1">
        <v>5000</v>
      </c>
      <c r="H1493" s="1">
        <v>4980</v>
      </c>
      <c r="I1493" s="1">
        <v>14940</v>
      </c>
      <c r="J1493" s="1">
        <v>3000</v>
      </c>
    </row>
    <row r="1494" spans="1:10" x14ac:dyDescent="0.3">
      <c r="A1494" t="s">
        <v>195</v>
      </c>
      <c r="B1494" t="s">
        <v>3</v>
      </c>
      <c r="C1494" t="s">
        <v>193</v>
      </c>
      <c r="D1494" t="s">
        <v>54</v>
      </c>
      <c r="E1494">
        <v>86</v>
      </c>
      <c r="F1494">
        <v>84</v>
      </c>
      <c r="G1494" s="1">
        <v>4400</v>
      </c>
      <c r="H1494" s="1">
        <v>4308</v>
      </c>
      <c r="I1494" s="1">
        <v>10770</v>
      </c>
      <c r="J1494" s="1">
        <v>2500</v>
      </c>
    </row>
    <row r="1495" spans="1:10" x14ac:dyDescent="0.3">
      <c r="A1495" t="s">
        <v>195</v>
      </c>
      <c r="B1495" t="s">
        <v>18</v>
      </c>
      <c r="C1495" t="s">
        <v>193</v>
      </c>
      <c r="D1495" t="s">
        <v>70</v>
      </c>
      <c r="E1495">
        <v>86</v>
      </c>
      <c r="F1495">
        <v>91</v>
      </c>
      <c r="G1495" s="1">
        <v>23750</v>
      </c>
      <c r="H1495" s="1">
        <v>23373</v>
      </c>
      <c r="I1495" s="1">
        <v>63107</v>
      </c>
      <c r="J1495" s="1">
        <v>2700</v>
      </c>
    </row>
    <row r="1496" spans="1:10" x14ac:dyDescent="0.3">
      <c r="A1496" t="s">
        <v>195</v>
      </c>
      <c r="B1496" t="s">
        <v>17</v>
      </c>
      <c r="C1496" t="s">
        <v>193</v>
      </c>
      <c r="D1496" t="s">
        <v>70</v>
      </c>
      <c r="E1496">
        <v>86</v>
      </c>
      <c r="F1496">
        <v>91</v>
      </c>
      <c r="G1496" s="1">
        <v>32604</v>
      </c>
      <c r="H1496" s="1">
        <v>32604</v>
      </c>
      <c r="I1496" s="1">
        <v>94552</v>
      </c>
      <c r="J1496" s="1">
        <v>2900</v>
      </c>
    </row>
    <row r="1497" spans="1:10" x14ac:dyDescent="0.3">
      <c r="A1497" t="s">
        <v>195</v>
      </c>
      <c r="B1497" t="s">
        <v>14</v>
      </c>
      <c r="C1497" t="s">
        <v>193</v>
      </c>
      <c r="D1497" t="s">
        <v>70</v>
      </c>
      <c r="E1497">
        <v>86</v>
      </c>
      <c r="F1497">
        <v>91</v>
      </c>
      <c r="G1497" s="1">
        <v>42623</v>
      </c>
      <c r="H1497" s="1">
        <v>42623</v>
      </c>
      <c r="I1497" s="1">
        <v>149179</v>
      </c>
      <c r="J1497" s="1">
        <v>3500</v>
      </c>
    </row>
    <row r="1498" spans="1:10" x14ac:dyDescent="0.3">
      <c r="A1498" t="s">
        <v>195</v>
      </c>
      <c r="B1498" t="s">
        <v>12</v>
      </c>
      <c r="C1498" t="s">
        <v>193</v>
      </c>
      <c r="D1498" t="s">
        <v>70</v>
      </c>
      <c r="E1498">
        <v>86</v>
      </c>
      <c r="F1498">
        <v>91</v>
      </c>
      <c r="G1498" s="1">
        <v>52326</v>
      </c>
      <c r="H1498" s="1">
        <v>52326</v>
      </c>
      <c r="I1498" s="1">
        <v>156978</v>
      </c>
      <c r="J1498" s="1">
        <v>3000</v>
      </c>
    </row>
    <row r="1499" spans="1:10" x14ac:dyDescent="0.3">
      <c r="A1499" t="s">
        <v>195</v>
      </c>
      <c r="B1499" t="s">
        <v>9</v>
      </c>
      <c r="C1499" t="s">
        <v>193</v>
      </c>
      <c r="D1499" t="s">
        <v>70</v>
      </c>
      <c r="E1499">
        <v>86</v>
      </c>
      <c r="F1499">
        <v>91</v>
      </c>
      <c r="G1499" s="1">
        <v>19500</v>
      </c>
      <c r="H1499" s="1">
        <v>19500</v>
      </c>
      <c r="I1499" s="1">
        <v>68250</v>
      </c>
      <c r="J1499" s="1">
        <v>3500</v>
      </c>
    </row>
    <row r="1500" spans="1:10" x14ac:dyDescent="0.3">
      <c r="A1500" t="s">
        <v>195</v>
      </c>
      <c r="B1500" t="s">
        <v>8</v>
      </c>
      <c r="C1500" t="s">
        <v>193</v>
      </c>
      <c r="D1500" t="s">
        <v>70</v>
      </c>
      <c r="E1500">
        <v>86</v>
      </c>
      <c r="F1500">
        <v>91</v>
      </c>
      <c r="G1500" s="1">
        <v>41700</v>
      </c>
      <c r="H1500" s="1">
        <v>41700</v>
      </c>
      <c r="I1500" s="1">
        <v>125100</v>
      </c>
      <c r="J1500" s="1">
        <v>3000</v>
      </c>
    </row>
    <row r="1501" spans="1:10" x14ac:dyDescent="0.3">
      <c r="A1501" t="s">
        <v>195</v>
      </c>
      <c r="B1501" t="s">
        <v>7</v>
      </c>
      <c r="C1501" t="s">
        <v>193</v>
      </c>
      <c r="D1501" t="s">
        <v>70</v>
      </c>
      <c r="E1501">
        <v>86</v>
      </c>
      <c r="F1501">
        <v>91</v>
      </c>
      <c r="G1501" s="1">
        <v>41600</v>
      </c>
      <c r="H1501" s="1">
        <v>41600</v>
      </c>
      <c r="I1501" s="1">
        <v>145600</v>
      </c>
      <c r="J1501" s="1">
        <v>3500</v>
      </c>
    </row>
    <row r="1502" spans="1:10" x14ac:dyDescent="0.3">
      <c r="A1502" t="s">
        <v>195</v>
      </c>
      <c r="B1502" t="s">
        <v>6</v>
      </c>
      <c r="C1502" t="s">
        <v>193</v>
      </c>
      <c r="D1502" t="s">
        <v>70</v>
      </c>
      <c r="E1502">
        <v>86</v>
      </c>
      <c r="F1502">
        <v>91</v>
      </c>
      <c r="G1502" s="1">
        <v>42000</v>
      </c>
      <c r="H1502" s="1">
        <v>42000</v>
      </c>
      <c r="I1502" s="1">
        <v>105000</v>
      </c>
      <c r="J1502" s="1">
        <v>2500</v>
      </c>
    </row>
    <row r="1503" spans="1:10" x14ac:dyDescent="0.3">
      <c r="A1503" t="s">
        <v>195</v>
      </c>
      <c r="B1503" t="s">
        <v>5</v>
      </c>
      <c r="C1503" t="s">
        <v>193</v>
      </c>
      <c r="D1503" t="s">
        <v>70</v>
      </c>
      <c r="E1503">
        <v>86</v>
      </c>
      <c r="F1503">
        <v>91</v>
      </c>
      <c r="G1503" s="1">
        <v>40000</v>
      </c>
      <c r="H1503" s="1">
        <v>40000</v>
      </c>
      <c r="I1503" s="1">
        <v>80000</v>
      </c>
      <c r="J1503" s="1">
        <v>2000</v>
      </c>
    </row>
    <row r="1504" spans="1:10" x14ac:dyDescent="0.3">
      <c r="A1504" t="s">
        <v>195</v>
      </c>
      <c r="B1504" t="s">
        <v>4</v>
      </c>
      <c r="C1504" t="s">
        <v>193</v>
      </c>
      <c r="D1504" t="s">
        <v>70</v>
      </c>
      <c r="E1504">
        <v>86</v>
      </c>
      <c r="F1504">
        <v>91</v>
      </c>
      <c r="G1504" s="1">
        <v>40000</v>
      </c>
      <c r="H1504" s="1">
        <v>39950</v>
      </c>
      <c r="I1504" s="1">
        <v>135830</v>
      </c>
      <c r="J1504" s="1">
        <v>3400</v>
      </c>
    </row>
    <row r="1505" spans="1:10" x14ac:dyDescent="0.3">
      <c r="A1505" t="s">
        <v>195</v>
      </c>
      <c r="B1505" t="s">
        <v>3</v>
      </c>
      <c r="C1505" t="s">
        <v>193</v>
      </c>
      <c r="D1505" t="s">
        <v>70</v>
      </c>
      <c r="E1505">
        <v>86</v>
      </c>
      <c r="F1505">
        <v>91</v>
      </c>
      <c r="G1505" s="1">
        <v>44000</v>
      </c>
      <c r="H1505" s="1">
        <v>43850</v>
      </c>
      <c r="I1505" s="1">
        <v>118395</v>
      </c>
      <c r="J1505" s="1">
        <v>2700</v>
      </c>
    </row>
    <row r="1506" spans="1:10" x14ac:dyDescent="0.3">
      <c r="A1506" t="s">
        <v>195</v>
      </c>
      <c r="B1506" t="s">
        <v>18</v>
      </c>
      <c r="C1506" t="s">
        <v>193</v>
      </c>
      <c r="D1506" t="s">
        <v>69</v>
      </c>
      <c r="E1506">
        <v>86</v>
      </c>
      <c r="F1506">
        <v>98</v>
      </c>
      <c r="G1506" s="1">
        <v>9500</v>
      </c>
      <c r="H1506" s="1">
        <v>9414</v>
      </c>
      <c r="I1506" s="1">
        <v>27300</v>
      </c>
      <c r="J1506" s="1">
        <v>2900</v>
      </c>
    </row>
    <row r="1507" spans="1:10" x14ac:dyDescent="0.3">
      <c r="A1507" t="s">
        <v>195</v>
      </c>
      <c r="B1507" t="s">
        <v>17</v>
      </c>
      <c r="C1507" t="s">
        <v>193</v>
      </c>
      <c r="D1507" t="s">
        <v>69</v>
      </c>
      <c r="E1507">
        <v>86</v>
      </c>
      <c r="F1507">
        <v>98</v>
      </c>
      <c r="G1507" s="1">
        <v>7296</v>
      </c>
      <c r="H1507" s="1">
        <v>6500</v>
      </c>
      <c r="I1507" s="1">
        <v>16900</v>
      </c>
      <c r="J1507" s="1">
        <v>2600</v>
      </c>
    </row>
    <row r="1508" spans="1:10" x14ac:dyDescent="0.3">
      <c r="A1508" t="s">
        <v>195</v>
      </c>
      <c r="B1508" t="s">
        <v>14</v>
      </c>
      <c r="C1508" t="s">
        <v>193</v>
      </c>
      <c r="D1508" t="s">
        <v>69</v>
      </c>
      <c r="E1508">
        <v>86</v>
      </c>
      <c r="F1508">
        <v>98</v>
      </c>
      <c r="G1508" s="1">
        <v>14250</v>
      </c>
      <c r="H1508" s="1">
        <v>14195</v>
      </c>
      <c r="I1508" s="1">
        <v>49682</v>
      </c>
      <c r="J1508" s="1">
        <v>3500</v>
      </c>
    </row>
    <row r="1509" spans="1:10" x14ac:dyDescent="0.3">
      <c r="A1509" t="s">
        <v>195</v>
      </c>
      <c r="B1509" t="s">
        <v>12</v>
      </c>
      <c r="C1509" t="s">
        <v>193</v>
      </c>
      <c r="D1509" t="s">
        <v>69</v>
      </c>
      <c r="E1509">
        <v>86</v>
      </c>
      <c r="F1509">
        <v>98</v>
      </c>
      <c r="G1509" s="1">
        <v>15865</v>
      </c>
      <c r="H1509" s="1">
        <v>15637</v>
      </c>
      <c r="I1509" s="1">
        <v>32838</v>
      </c>
      <c r="J1509" s="1">
        <v>2100</v>
      </c>
    </row>
    <row r="1510" spans="1:10" x14ac:dyDescent="0.3">
      <c r="A1510" t="s">
        <v>195</v>
      </c>
      <c r="B1510" t="s">
        <v>9</v>
      </c>
      <c r="C1510" t="s">
        <v>193</v>
      </c>
      <c r="D1510" t="s">
        <v>69</v>
      </c>
      <c r="E1510">
        <v>86</v>
      </c>
      <c r="F1510">
        <v>98</v>
      </c>
      <c r="G1510" s="1">
        <v>16950</v>
      </c>
      <c r="H1510" s="1">
        <v>16550</v>
      </c>
      <c r="I1510" s="1">
        <v>43858</v>
      </c>
      <c r="J1510" s="1">
        <v>2650</v>
      </c>
    </row>
    <row r="1511" spans="1:10" x14ac:dyDescent="0.3">
      <c r="A1511" t="s">
        <v>195</v>
      </c>
      <c r="B1511" t="s">
        <v>8</v>
      </c>
      <c r="C1511" t="s">
        <v>193</v>
      </c>
      <c r="D1511" t="s">
        <v>69</v>
      </c>
      <c r="E1511">
        <v>86</v>
      </c>
      <c r="F1511">
        <v>98</v>
      </c>
      <c r="G1511" s="1">
        <v>27500</v>
      </c>
      <c r="H1511" s="1">
        <v>27260</v>
      </c>
      <c r="I1511" s="1">
        <v>87232</v>
      </c>
      <c r="J1511" s="1">
        <v>3200</v>
      </c>
    </row>
    <row r="1512" spans="1:10" x14ac:dyDescent="0.3">
      <c r="A1512" t="s">
        <v>195</v>
      </c>
      <c r="B1512" t="s">
        <v>7</v>
      </c>
      <c r="C1512" t="s">
        <v>193</v>
      </c>
      <c r="D1512" t="s">
        <v>69</v>
      </c>
      <c r="E1512">
        <v>86</v>
      </c>
      <c r="F1512">
        <v>98</v>
      </c>
      <c r="G1512" s="1">
        <v>16000</v>
      </c>
      <c r="H1512" s="1">
        <v>16000</v>
      </c>
      <c r="I1512" s="1">
        <v>51200</v>
      </c>
      <c r="J1512" s="1">
        <v>3200</v>
      </c>
    </row>
    <row r="1513" spans="1:10" x14ac:dyDescent="0.3">
      <c r="A1513" t="s">
        <v>195</v>
      </c>
      <c r="B1513" t="s">
        <v>6</v>
      </c>
      <c r="C1513" t="s">
        <v>193</v>
      </c>
      <c r="D1513" t="s">
        <v>69</v>
      </c>
      <c r="E1513">
        <v>86</v>
      </c>
      <c r="F1513">
        <v>98</v>
      </c>
      <c r="G1513" s="1">
        <v>14400</v>
      </c>
      <c r="H1513" s="1">
        <v>14400</v>
      </c>
      <c r="I1513" s="1">
        <v>44640</v>
      </c>
      <c r="J1513" s="1">
        <v>3100</v>
      </c>
    </row>
    <row r="1514" spans="1:10" x14ac:dyDescent="0.3">
      <c r="A1514" t="s">
        <v>195</v>
      </c>
      <c r="B1514" t="s">
        <v>5</v>
      </c>
      <c r="C1514" t="s">
        <v>193</v>
      </c>
      <c r="D1514" t="s">
        <v>69</v>
      </c>
      <c r="E1514">
        <v>86</v>
      </c>
      <c r="F1514">
        <v>98</v>
      </c>
      <c r="G1514" s="1">
        <v>9405</v>
      </c>
      <c r="H1514" s="1">
        <v>9405</v>
      </c>
      <c r="I1514" s="1">
        <v>23513</v>
      </c>
      <c r="J1514" s="1">
        <v>2500</v>
      </c>
    </row>
    <row r="1515" spans="1:10" x14ac:dyDescent="0.3">
      <c r="A1515" t="s">
        <v>195</v>
      </c>
      <c r="B1515" t="s">
        <v>4</v>
      </c>
      <c r="C1515" t="s">
        <v>193</v>
      </c>
      <c r="D1515" t="s">
        <v>69</v>
      </c>
      <c r="E1515">
        <v>86</v>
      </c>
      <c r="F1515">
        <v>98</v>
      </c>
      <c r="G1515" s="1">
        <v>11300</v>
      </c>
      <c r="H1515" s="1">
        <v>11300</v>
      </c>
      <c r="I1515" s="1">
        <v>31188</v>
      </c>
      <c r="J1515" s="1">
        <v>2760</v>
      </c>
    </row>
    <row r="1516" spans="1:10" x14ac:dyDescent="0.3">
      <c r="A1516" t="s">
        <v>195</v>
      </c>
      <c r="B1516" t="s">
        <v>3</v>
      </c>
      <c r="C1516" t="s">
        <v>193</v>
      </c>
      <c r="D1516" t="s">
        <v>69</v>
      </c>
      <c r="E1516">
        <v>86</v>
      </c>
      <c r="F1516">
        <v>98</v>
      </c>
      <c r="G1516" s="1">
        <v>12400</v>
      </c>
      <c r="H1516" s="1">
        <v>11430</v>
      </c>
      <c r="I1516" s="1">
        <v>22860</v>
      </c>
      <c r="J1516" s="1">
        <v>2000</v>
      </c>
    </row>
    <row r="1517" spans="1:10" x14ac:dyDescent="0.3">
      <c r="A1517" t="s">
        <v>195</v>
      </c>
      <c r="B1517" t="s">
        <v>12</v>
      </c>
      <c r="C1517" t="s">
        <v>193</v>
      </c>
      <c r="D1517" t="s">
        <v>31</v>
      </c>
      <c r="E1517">
        <v>86</v>
      </c>
      <c r="F1517">
        <v>105</v>
      </c>
      <c r="G1517" s="1">
        <v>1140</v>
      </c>
      <c r="H1517" s="1">
        <v>1140</v>
      </c>
      <c r="I1517" s="1">
        <v>2850</v>
      </c>
      <c r="J1517" s="1">
        <v>2500</v>
      </c>
    </row>
    <row r="1518" spans="1:10" x14ac:dyDescent="0.3">
      <c r="A1518" t="s">
        <v>195</v>
      </c>
      <c r="B1518" t="s">
        <v>8</v>
      </c>
      <c r="C1518" t="s">
        <v>193</v>
      </c>
      <c r="D1518" t="s">
        <v>31</v>
      </c>
      <c r="E1518">
        <v>86</v>
      </c>
      <c r="F1518">
        <v>105</v>
      </c>
      <c r="G1518" s="1">
        <v>1000</v>
      </c>
      <c r="H1518" s="1">
        <v>1000</v>
      </c>
      <c r="I1518" s="1">
        <v>3000</v>
      </c>
      <c r="J1518" s="1">
        <v>3000</v>
      </c>
    </row>
    <row r="1519" spans="1:10" x14ac:dyDescent="0.3">
      <c r="A1519" t="s">
        <v>195</v>
      </c>
      <c r="B1519" t="s">
        <v>7</v>
      </c>
      <c r="C1519" t="s">
        <v>193</v>
      </c>
      <c r="D1519" t="s">
        <v>31</v>
      </c>
      <c r="E1519">
        <v>86</v>
      </c>
      <c r="F1519">
        <v>105</v>
      </c>
      <c r="G1519" s="1">
        <v>1000</v>
      </c>
      <c r="H1519" s="1">
        <v>1000</v>
      </c>
      <c r="I1519" s="1">
        <v>3000</v>
      </c>
      <c r="J1519" s="1">
        <v>3000</v>
      </c>
    </row>
    <row r="1520" spans="1:10" x14ac:dyDescent="0.3">
      <c r="A1520" t="s">
        <v>195</v>
      </c>
      <c r="B1520" t="s">
        <v>6</v>
      </c>
      <c r="C1520" t="s">
        <v>193</v>
      </c>
      <c r="D1520" t="s">
        <v>31</v>
      </c>
      <c r="E1520">
        <v>86</v>
      </c>
      <c r="F1520">
        <v>105</v>
      </c>
      <c r="G1520" s="1">
        <v>1000</v>
      </c>
      <c r="H1520" s="1">
        <v>1000</v>
      </c>
      <c r="I1520" s="1">
        <v>2500</v>
      </c>
      <c r="J1520" s="1">
        <v>2500</v>
      </c>
    </row>
    <row r="1521" spans="1:10" x14ac:dyDescent="0.3">
      <c r="A1521" t="s">
        <v>195</v>
      </c>
      <c r="B1521" t="s">
        <v>5</v>
      </c>
      <c r="C1521" t="s">
        <v>193</v>
      </c>
      <c r="D1521" t="s">
        <v>31</v>
      </c>
      <c r="E1521">
        <v>86</v>
      </c>
      <c r="F1521">
        <v>105</v>
      </c>
      <c r="G1521" s="1">
        <v>1000</v>
      </c>
      <c r="H1521" s="1">
        <v>1000</v>
      </c>
      <c r="I1521" s="1">
        <v>1500</v>
      </c>
      <c r="J1521" s="1">
        <v>1500</v>
      </c>
    </row>
    <row r="1522" spans="1:10" x14ac:dyDescent="0.3">
      <c r="A1522" t="s">
        <v>195</v>
      </c>
      <c r="B1522" t="s">
        <v>4</v>
      </c>
      <c r="C1522" t="s">
        <v>193</v>
      </c>
      <c r="D1522" t="s">
        <v>31</v>
      </c>
      <c r="E1522">
        <v>86</v>
      </c>
      <c r="F1522">
        <v>105</v>
      </c>
      <c r="G1522" s="1">
        <v>1000</v>
      </c>
      <c r="H1522" s="1">
        <v>975</v>
      </c>
      <c r="I1522" s="1">
        <v>3315</v>
      </c>
      <c r="J1522" s="1">
        <v>3400</v>
      </c>
    </row>
    <row r="1523" spans="1:10" x14ac:dyDescent="0.3">
      <c r="A1523" t="s">
        <v>195</v>
      </c>
      <c r="B1523" t="s">
        <v>3</v>
      </c>
      <c r="C1523" t="s">
        <v>193</v>
      </c>
      <c r="D1523" t="s">
        <v>31</v>
      </c>
      <c r="E1523">
        <v>86</v>
      </c>
      <c r="F1523">
        <v>105</v>
      </c>
      <c r="G1523" s="1">
        <v>1200</v>
      </c>
      <c r="H1523" s="1">
        <v>1150</v>
      </c>
      <c r="I1523" s="1">
        <v>2875</v>
      </c>
      <c r="J1523" s="1">
        <v>2500</v>
      </c>
    </row>
    <row r="1524" spans="1:10" x14ac:dyDescent="0.3">
      <c r="A1524" t="s">
        <v>195</v>
      </c>
      <c r="B1524" t="s">
        <v>18</v>
      </c>
      <c r="C1524" t="s">
        <v>193</v>
      </c>
      <c r="D1524" t="s">
        <v>56</v>
      </c>
      <c r="E1524">
        <v>86</v>
      </c>
      <c r="F1524">
        <v>112</v>
      </c>
      <c r="G1524" s="1">
        <v>2375</v>
      </c>
      <c r="H1524" s="1">
        <v>2316</v>
      </c>
      <c r="I1524" s="1">
        <v>5557</v>
      </c>
      <c r="J1524" s="1">
        <v>2399</v>
      </c>
    </row>
    <row r="1525" spans="1:10" x14ac:dyDescent="0.3">
      <c r="A1525" t="s">
        <v>195</v>
      </c>
      <c r="B1525" t="s">
        <v>17</v>
      </c>
      <c r="C1525" t="s">
        <v>193</v>
      </c>
      <c r="D1525" t="s">
        <v>56</v>
      </c>
      <c r="E1525">
        <v>86</v>
      </c>
      <c r="F1525">
        <v>112</v>
      </c>
      <c r="G1525" s="1">
        <v>2850</v>
      </c>
      <c r="H1525" s="1">
        <v>2850</v>
      </c>
      <c r="I1525" s="1">
        <v>7695</v>
      </c>
      <c r="J1525" s="1">
        <v>2700</v>
      </c>
    </row>
    <row r="1526" spans="1:10" x14ac:dyDescent="0.3">
      <c r="A1526" t="s">
        <v>195</v>
      </c>
      <c r="B1526" t="s">
        <v>14</v>
      </c>
      <c r="C1526" t="s">
        <v>193</v>
      </c>
      <c r="D1526" t="s">
        <v>56</v>
      </c>
      <c r="E1526">
        <v>86</v>
      </c>
      <c r="F1526">
        <v>112</v>
      </c>
      <c r="G1526" s="1">
        <v>4750</v>
      </c>
      <c r="H1526" s="1">
        <v>4750</v>
      </c>
      <c r="I1526" s="1">
        <v>16625</v>
      </c>
      <c r="J1526" s="1">
        <v>3500</v>
      </c>
    </row>
    <row r="1527" spans="1:10" x14ac:dyDescent="0.3">
      <c r="A1527" t="s">
        <v>195</v>
      </c>
      <c r="B1527" t="s">
        <v>12</v>
      </c>
      <c r="C1527" t="s">
        <v>193</v>
      </c>
      <c r="D1527" t="s">
        <v>56</v>
      </c>
      <c r="E1527">
        <v>86</v>
      </c>
      <c r="F1527">
        <v>112</v>
      </c>
      <c r="G1527" s="1">
        <v>6650</v>
      </c>
      <c r="H1527" s="1">
        <v>6650</v>
      </c>
      <c r="I1527" s="1">
        <v>9975</v>
      </c>
      <c r="J1527" s="1">
        <v>1500</v>
      </c>
    </row>
    <row r="1528" spans="1:10" x14ac:dyDescent="0.3">
      <c r="A1528" t="s">
        <v>195</v>
      </c>
      <c r="B1528" t="s">
        <v>9</v>
      </c>
      <c r="C1528" t="s">
        <v>193</v>
      </c>
      <c r="D1528" t="s">
        <v>56</v>
      </c>
      <c r="E1528">
        <v>86</v>
      </c>
      <c r="F1528">
        <v>112</v>
      </c>
      <c r="G1528" s="1">
        <v>3000</v>
      </c>
      <c r="H1528" s="1">
        <v>3000</v>
      </c>
      <c r="I1528" s="1">
        <v>10527</v>
      </c>
      <c r="J1528" s="1">
        <v>3509</v>
      </c>
    </row>
    <row r="1529" spans="1:10" x14ac:dyDescent="0.3">
      <c r="A1529" t="s">
        <v>195</v>
      </c>
      <c r="B1529" t="s">
        <v>8</v>
      </c>
      <c r="C1529" t="s">
        <v>193</v>
      </c>
      <c r="D1529" t="s">
        <v>56</v>
      </c>
      <c r="E1529">
        <v>86</v>
      </c>
      <c r="F1529">
        <v>112</v>
      </c>
      <c r="G1529" s="1">
        <v>3000</v>
      </c>
      <c r="H1529" s="1">
        <v>3000</v>
      </c>
      <c r="I1529" s="1">
        <v>9000</v>
      </c>
      <c r="J1529" s="1">
        <v>3000</v>
      </c>
    </row>
    <row r="1530" spans="1:10" x14ac:dyDescent="0.3">
      <c r="A1530" t="s">
        <v>195</v>
      </c>
      <c r="B1530" t="s">
        <v>7</v>
      </c>
      <c r="C1530" t="s">
        <v>193</v>
      </c>
      <c r="D1530" t="s">
        <v>56</v>
      </c>
      <c r="E1530">
        <v>86</v>
      </c>
      <c r="F1530">
        <v>112</v>
      </c>
      <c r="G1530" s="1">
        <v>3000</v>
      </c>
      <c r="H1530" s="1">
        <v>3000</v>
      </c>
      <c r="I1530" s="1">
        <v>9000</v>
      </c>
      <c r="J1530" s="1">
        <v>3000</v>
      </c>
    </row>
    <row r="1531" spans="1:10" x14ac:dyDescent="0.3">
      <c r="A1531" t="s">
        <v>195</v>
      </c>
      <c r="B1531" t="s">
        <v>6</v>
      </c>
      <c r="C1531" t="s">
        <v>193</v>
      </c>
      <c r="D1531" t="s">
        <v>56</v>
      </c>
      <c r="E1531">
        <v>86</v>
      </c>
      <c r="F1531">
        <v>112</v>
      </c>
      <c r="G1531" s="1">
        <v>3000</v>
      </c>
      <c r="H1531" s="1">
        <v>3000</v>
      </c>
      <c r="I1531" s="1">
        <v>7500</v>
      </c>
      <c r="J1531" s="1">
        <v>2500</v>
      </c>
    </row>
    <row r="1532" spans="1:10" x14ac:dyDescent="0.3">
      <c r="A1532" t="s">
        <v>195</v>
      </c>
      <c r="B1532" t="s">
        <v>5</v>
      </c>
      <c r="C1532" t="s">
        <v>193</v>
      </c>
      <c r="D1532" t="s">
        <v>56</v>
      </c>
      <c r="E1532">
        <v>86</v>
      </c>
      <c r="F1532">
        <v>112</v>
      </c>
      <c r="G1532" s="1">
        <v>3000</v>
      </c>
      <c r="H1532" s="1">
        <v>3000</v>
      </c>
      <c r="I1532" s="1">
        <v>4500</v>
      </c>
      <c r="J1532" s="1">
        <v>1500</v>
      </c>
    </row>
    <row r="1533" spans="1:10" x14ac:dyDescent="0.3">
      <c r="A1533" t="s">
        <v>195</v>
      </c>
      <c r="B1533" t="s">
        <v>4</v>
      </c>
      <c r="C1533" t="s">
        <v>193</v>
      </c>
      <c r="D1533" t="s">
        <v>56</v>
      </c>
      <c r="E1533">
        <v>86</v>
      </c>
      <c r="F1533">
        <v>112</v>
      </c>
      <c r="G1533" s="1">
        <v>3000</v>
      </c>
      <c r="H1533" s="1">
        <v>2940</v>
      </c>
      <c r="I1533" s="1">
        <v>9996</v>
      </c>
      <c r="J1533" s="1">
        <v>3400</v>
      </c>
    </row>
    <row r="1534" spans="1:10" x14ac:dyDescent="0.3">
      <c r="A1534" t="s">
        <v>195</v>
      </c>
      <c r="B1534" t="s">
        <v>3</v>
      </c>
      <c r="C1534" t="s">
        <v>193</v>
      </c>
      <c r="D1534" t="s">
        <v>56</v>
      </c>
      <c r="E1534">
        <v>86</v>
      </c>
      <c r="F1534">
        <v>112</v>
      </c>
      <c r="G1534" s="1">
        <v>3300</v>
      </c>
      <c r="H1534" s="1">
        <v>3210</v>
      </c>
      <c r="I1534" s="1">
        <v>8025</v>
      </c>
      <c r="J1534" s="1">
        <v>2500</v>
      </c>
    </row>
    <row r="1535" spans="1:10" x14ac:dyDescent="0.3">
      <c r="A1535" t="s">
        <v>195</v>
      </c>
      <c r="B1535" t="s">
        <v>18</v>
      </c>
      <c r="C1535" t="s">
        <v>193</v>
      </c>
      <c r="D1535" t="s">
        <v>72</v>
      </c>
      <c r="E1535">
        <v>86</v>
      </c>
      <c r="F1535">
        <v>119</v>
      </c>
      <c r="G1535" s="1">
        <v>23750</v>
      </c>
      <c r="H1535" s="1">
        <v>23512</v>
      </c>
      <c r="I1535" s="1">
        <v>61132</v>
      </c>
      <c r="J1535" s="1">
        <v>2600</v>
      </c>
    </row>
    <row r="1536" spans="1:10" x14ac:dyDescent="0.3">
      <c r="A1536" t="s">
        <v>195</v>
      </c>
      <c r="B1536" t="s">
        <v>17</v>
      </c>
      <c r="C1536" t="s">
        <v>193</v>
      </c>
      <c r="D1536" t="s">
        <v>72</v>
      </c>
      <c r="E1536">
        <v>86</v>
      </c>
      <c r="F1536">
        <v>119</v>
      </c>
      <c r="G1536" s="1">
        <v>7362</v>
      </c>
      <c r="H1536" s="1">
        <v>7236</v>
      </c>
      <c r="I1536" s="1">
        <v>18812</v>
      </c>
      <c r="J1536" s="1">
        <v>2600</v>
      </c>
    </row>
    <row r="1537" spans="1:10" x14ac:dyDescent="0.3">
      <c r="A1537" t="s">
        <v>195</v>
      </c>
      <c r="B1537" t="s">
        <v>14</v>
      </c>
      <c r="C1537" t="s">
        <v>193</v>
      </c>
      <c r="D1537" t="s">
        <v>72</v>
      </c>
      <c r="E1537">
        <v>86</v>
      </c>
      <c r="F1537">
        <v>119</v>
      </c>
      <c r="G1537" s="1">
        <v>17765</v>
      </c>
      <c r="H1537" s="1">
        <v>17736</v>
      </c>
      <c r="I1537" s="1">
        <v>63849</v>
      </c>
      <c r="J1537" s="1">
        <v>3600</v>
      </c>
    </row>
    <row r="1538" spans="1:10" x14ac:dyDescent="0.3">
      <c r="A1538" t="s">
        <v>195</v>
      </c>
      <c r="B1538" t="s">
        <v>12</v>
      </c>
      <c r="C1538" t="s">
        <v>193</v>
      </c>
      <c r="D1538" t="s">
        <v>72</v>
      </c>
      <c r="E1538">
        <v>86</v>
      </c>
      <c r="F1538">
        <v>119</v>
      </c>
      <c r="G1538" s="1">
        <v>89281</v>
      </c>
      <c r="H1538" s="1">
        <v>87737</v>
      </c>
      <c r="I1538" s="1">
        <v>245664</v>
      </c>
      <c r="J1538" s="1">
        <v>2800</v>
      </c>
    </row>
    <row r="1539" spans="1:10" x14ac:dyDescent="0.3">
      <c r="A1539" t="s">
        <v>195</v>
      </c>
      <c r="B1539" t="s">
        <v>9</v>
      </c>
      <c r="C1539" t="s">
        <v>193</v>
      </c>
      <c r="D1539" t="s">
        <v>72</v>
      </c>
      <c r="E1539">
        <v>86</v>
      </c>
      <c r="F1539">
        <v>119</v>
      </c>
      <c r="G1539" s="1">
        <v>63000</v>
      </c>
      <c r="H1539" s="1">
        <v>62200</v>
      </c>
      <c r="I1539" s="1">
        <v>166634</v>
      </c>
      <c r="J1539" s="1">
        <v>2679</v>
      </c>
    </row>
    <row r="1540" spans="1:10" x14ac:dyDescent="0.3">
      <c r="A1540" t="s">
        <v>195</v>
      </c>
      <c r="B1540" t="s">
        <v>8</v>
      </c>
      <c r="C1540" t="s">
        <v>193</v>
      </c>
      <c r="D1540" t="s">
        <v>72</v>
      </c>
      <c r="E1540">
        <v>86</v>
      </c>
      <c r="F1540">
        <v>119</v>
      </c>
      <c r="G1540" s="1">
        <v>93800</v>
      </c>
      <c r="H1540" s="1">
        <v>93075</v>
      </c>
      <c r="I1540" s="1">
        <v>288533</v>
      </c>
      <c r="J1540" s="1">
        <v>3100</v>
      </c>
    </row>
    <row r="1541" spans="1:10" x14ac:dyDescent="0.3">
      <c r="A1541" t="s">
        <v>195</v>
      </c>
      <c r="B1541" t="s">
        <v>7</v>
      </c>
      <c r="C1541" t="s">
        <v>193</v>
      </c>
      <c r="D1541" t="s">
        <v>72</v>
      </c>
      <c r="E1541">
        <v>86</v>
      </c>
      <c r="F1541">
        <v>119</v>
      </c>
      <c r="G1541" s="1">
        <v>44000</v>
      </c>
      <c r="H1541" s="1">
        <v>44000</v>
      </c>
      <c r="I1541" s="1">
        <v>149600</v>
      </c>
      <c r="J1541" s="1">
        <v>3400</v>
      </c>
    </row>
    <row r="1542" spans="1:10" x14ac:dyDescent="0.3">
      <c r="A1542" t="s">
        <v>195</v>
      </c>
      <c r="B1542" t="s">
        <v>6</v>
      </c>
      <c r="C1542" t="s">
        <v>193</v>
      </c>
      <c r="D1542" t="s">
        <v>72</v>
      </c>
      <c r="E1542">
        <v>86</v>
      </c>
      <c r="F1542">
        <v>119</v>
      </c>
      <c r="G1542" s="1">
        <v>39600</v>
      </c>
      <c r="H1542" s="1">
        <v>39600</v>
      </c>
      <c r="I1542" s="1">
        <v>122760</v>
      </c>
      <c r="J1542" s="1">
        <v>3100</v>
      </c>
    </row>
    <row r="1543" spans="1:10" x14ac:dyDescent="0.3">
      <c r="A1543" t="s">
        <v>195</v>
      </c>
      <c r="B1543" t="s">
        <v>5</v>
      </c>
      <c r="C1543" t="s">
        <v>193</v>
      </c>
      <c r="D1543" t="s">
        <v>72</v>
      </c>
      <c r="E1543">
        <v>86</v>
      </c>
      <c r="F1543">
        <v>119</v>
      </c>
      <c r="G1543" s="1">
        <v>31600</v>
      </c>
      <c r="H1543" s="1">
        <v>31600</v>
      </c>
      <c r="I1543" s="1">
        <v>79000</v>
      </c>
      <c r="J1543" s="1">
        <v>2500</v>
      </c>
    </row>
    <row r="1544" spans="1:10" x14ac:dyDescent="0.3">
      <c r="A1544" t="s">
        <v>195</v>
      </c>
      <c r="B1544" t="s">
        <v>4</v>
      </c>
      <c r="C1544" t="s">
        <v>193</v>
      </c>
      <c r="D1544" t="s">
        <v>72</v>
      </c>
      <c r="E1544">
        <v>86</v>
      </c>
      <c r="F1544">
        <v>119</v>
      </c>
      <c r="G1544" s="1">
        <v>33000</v>
      </c>
      <c r="H1544" s="1">
        <v>33000</v>
      </c>
      <c r="I1544" s="1">
        <v>57420</v>
      </c>
      <c r="J1544" s="1">
        <v>1740</v>
      </c>
    </row>
    <row r="1545" spans="1:10" x14ac:dyDescent="0.3">
      <c r="A1545" t="s">
        <v>195</v>
      </c>
      <c r="B1545" t="s">
        <v>3</v>
      </c>
      <c r="C1545" t="s">
        <v>193</v>
      </c>
      <c r="D1545" t="s">
        <v>72</v>
      </c>
      <c r="E1545">
        <v>86</v>
      </c>
      <c r="F1545">
        <v>119</v>
      </c>
      <c r="G1545" s="1">
        <v>35800</v>
      </c>
      <c r="H1545" s="1">
        <v>27510</v>
      </c>
      <c r="I1545" s="1">
        <v>24759</v>
      </c>
      <c r="J1545" s="1">
        <v>900</v>
      </c>
    </row>
    <row r="1546" spans="1:10" x14ac:dyDescent="0.3">
      <c r="A1546" t="s">
        <v>195</v>
      </c>
      <c r="B1546" t="s">
        <v>18</v>
      </c>
      <c r="C1546" t="s">
        <v>193</v>
      </c>
      <c r="D1546" t="s">
        <v>68</v>
      </c>
      <c r="E1546">
        <v>86</v>
      </c>
      <c r="F1546">
        <v>133</v>
      </c>
      <c r="G1546" s="1">
        <v>32775</v>
      </c>
      <c r="H1546" s="1">
        <v>32085</v>
      </c>
      <c r="I1546" s="1">
        <v>77004</v>
      </c>
      <c r="J1546" s="1">
        <v>2400</v>
      </c>
    </row>
    <row r="1547" spans="1:10" x14ac:dyDescent="0.3">
      <c r="A1547" t="s">
        <v>195</v>
      </c>
      <c r="B1547" t="s">
        <v>17</v>
      </c>
      <c r="C1547" t="s">
        <v>193</v>
      </c>
      <c r="D1547" t="s">
        <v>68</v>
      </c>
      <c r="E1547">
        <v>86</v>
      </c>
      <c r="F1547">
        <v>133</v>
      </c>
      <c r="G1547" s="1">
        <v>13471</v>
      </c>
      <c r="H1547" s="1">
        <v>13471</v>
      </c>
      <c r="I1547" s="1">
        <v>39066</v>
      </c>
      <c r="J1547" s="1">
        <v>2900</v>
      </c>
    </row>
    <row r="1548" spans="1:10" x14ac:dyDescent="0.3">
      <c r="A1548" t="s">
        <v>195</v>
      </c>
      <c r="B1548" t="s">
        <v>14</v>
      </c>
      <c r="C1548" t="s">
        <v>193</v>
      </c>
      <c r="D1548" t="s">
        <v>68</v>
      </c>
      <c r="E1548">
        <v>86</v>
      </c>
      <c r="F1548">
        <v>133</v>
      </c>
      <c r="G1548" s="1">
        <v>22230</v>
      </c>
      <c r="H1548" s="1">
        <v>22230</v>
      </c>
      <c r="I1548" s="1">
        <v>77805</v>
      </c>
      <c r="J1548" s="1">
        <v>3500</v>
      </c>
    </row>
    <row r="1549" spans="1:10" x14ac:dyDescent="0.3">
      <c r="A1549" t="s">
        <v>195</v>
      </c>
      <c r="B1549" t="s">
        <v>12</v>
      </c>
      <c r="C1549" t="s">
        <v>193</v>
      </c>
      <c r="D1549" t="s">
        <v>68</v>
      </c>
      <c r="E1549">
        <v>86</v>
      </c>
      <c r="F1549">
        <v>133</v>
      </c>
      <c r="G1549" s="1">
        <v>25697</v>
      </c>
      <c r="H1549" s="1">
        <v>25697</v>
      </c>
      <c r="I1549" s="1">
        <v>77092</v>
      </c>
      <c r="J1549" s="1">
        <v>3000</v>
      </c>
    </row>
    <row r="1550" spans="1:10" x14ac:dyDescent="0.3">
      <c r="A1550" t="s">
        <v>195</v>
      </c>
      <c r="B1550" t="s">
        <v>9</v>
      </c>
      <c r="C1550" t="s">
        <v>193</v>
      </c>
      <c r="D1550" t="s">
        <v>68</v>
      </c>
      <c r="E1550">
        <v>86</v>
      </c>
      <c r="F1550">
        <v>133</v>
      </c>
      <c r="G1550" s="1">
        <v>10000</v>
      </c>
      <c r="H1550" s="1">
        <v>10000</v>
      </c>
      <c r="I1550" s="1">
        <v>35000</v>
      </c>
      <c r="J1550" s="1">
        <v>3500</v>
      </c>
    </row>
    <row r="1551" spans="1:10" x14ac:dyDescent="0.3">
      <c r="A1551" t="s">
        <v>195</v>
      </c>
      <c r="B1551" t="s">
        <v>8</v>
      </c>
      <c r="C1551" t="s">
        <v>193</v>
      </c>
      <c r="D1551" t="s">
        <v>68</v>
      </c>
      <c r="E1551">
        <v>86</v>
      </c>
      <c r="F1551">
        <v>133</v>
      </c>
      <c r="G1551" s="1">
        <v>28100</v>
      </c>
      <c r="H1551" s="1">
        <v>28100</v>
      </c>
      <c r="I1551" s="1">
        <v>84300</v>
      </c>
      <c r="J1551" s="1">
        <v>3000</v>
      </c>
    </row>
    <row r="1552" spans="1:10" x14ac:dyDescent="0.3">
      <c r="A1552" t="s">
        <v>195</v>
      </c>
      <c r="B1552" t="s">
        <v>7</v>
      </c>
      <c r="C1552" t="s">
        <v>193</v>
      </c>
      <c r="D1552" t="s">
        <v>68</v>
      </c>
      <c r="E1552">
        <v>86</v>
      </c>
      <c r="F1552">
        <v>133</v>
      </c>
      <c r="G1552" s="1">
        <v>28100</v>
      </c>
      <c r="H1552" s="1">
        <v>28100</v>
      </c>
      <c r="I1552" s="1">
        <v>84300</v>
      </c>
      <c r="J1552" s="1">
        <v>3000</v>
      </c>
    </row>
    <row r="1553" spans="1:10" x14ac:dyDescent="0.3">
      <c r="A1553" t="s">
        <v>195</v>
      </c>
      <c r="B1553" t="s">
        <v>6</v>
      </c>
      <c r="C1553" t="s">
        <v>193</v>
      </c>
      <c r="D1553" t="s">
        <v>68</v>
      </c>
      <c r="E1553">
        <v>86</v>
      </c>
      <c r="F1553">
        <v>133</v>
      </c>
      <c r="G1553" s="1">
        <v>26500</v>
      </c>
      <c r="H1553" s="1">
        <v>26500</v>
      </c>
      <c r="I1553" s="1">
        <v>66250</v>
      </c>
      <c r="J1553" s="1">
        <v>2500</v>
      </c>
    </row>
    <row r="1554" spans="1:10" x14ac:dyDescent="0.3">
      <c r="A1554" t="s">
        <v>195</v>
      </c>
      <c r="B1554" t="s">
        <v>5</v>
      </c>
      <c r="C1554" t="s">
        <v>193</v>
      </c>
      <c r="D1554" t="s">
        <v>68</v>
      </c>
      <c r="E1554">
        <v>86</v>
      </c>
      <c r="F1554">
        <v>133</v>
      </c>
      <c r="G1554" s="1">
        <v>26500</v>
      </c>
      <c r="H1554" s="1">
        <v>26500</v>
      </c>
      <c r="I1554" s="1">
        <v>47700</v>
      </c>
      <c r="J1554" s="1">
        <v>1800</v>
      </c>
    </row>
    <row r="1555" spans="1:10" x14ac:dyDescent="0.3">
      <c r="A1555" t="s">
        <v>195</v>
      </c>
      <c r="B1555" t="s">
        <v>4</v>
      </c>
      <c r="C1555" t="s">
        <v>193</v>
      </c>
      <c r="D1555" t="s">
        <v>68</v>
      </c>
      <c r="E1555">
        <v>86</v>
      </c>
      <c r="F1555">
        <v>133</v>
      </c>
      <c r="G1555" s="1">
        <v>26500</v>
      </c>
      <c r="H1555" s="1">
        <v>26485</v>
      </c>
      <c r="I1555" s="1">
        <v>103292</v>
      </c>
      <c r="J1555" s="1">
        <v>3900</v>
      </c>
    </row>
    <row r="1556" spans="1:10" x14ac:dyDescent="0.3">
      <c r="A1556" t="s">
        <v>195</v>
      </c>
      <c r="B1556" t="s">
        <v>3</v>
      </c>
      <c r="C1556" t="s">
        <v>193</v>
      </c>
      <c r="D1556" t="s">
        <v>68</v>
      </c>
      <c r="E1556">
        <v>86</v>
      </c>
      <c r="F1556">
        <v>133</v>
      </c>
      <c r="G1556" s="1">
        <v>29150</v>
      </c>
      <c r="H1556" s="1">
        <v>28990</v>
      </c>
      <c r="I1556" s="1">
        <v>86680</v>
      </c>
      <c r="J1556" s="1">
        <v>2990</v>
      </c>
    </row>
    <row r="1557" spans="1:10" x14ac:dyDescent="0.3">
      <c r="A1557" t="s">
        <v>195</v>
      </c>
      <c r="B1557" t="s">
        <v>18</v>
      </c>
      <c r="C1557" t="s">
        <v>193</v>
      </c>
      <c r="D1557" t="s">
        <v>65</v>
      </c>
      <c r="E1557">
        <v>86</v>
      </c>
      <c r="F1557">
        <v>147</v>
      </c>
      <c r="G1557" s="1">
        <v>1425</v>
      </c>
      <c r="H1557" s="1">
        <v>1425</v>
      </c>
      <c r="I1557" s="1">
        <v>2850</v>
      </c>
      <c r="J1557" s="1">
        <v>2000</v>
      </c>
    </row>
    <row r="1558" spans="1:10" x14ac:dyDescent="0.3">
      <c r="A1558" t="s">
        <v>195</v>
      </c>
      <c r="B1558" t="s">
        <v>17</v>
      </c>
      <c r="C1558" t="s">
        <v>193</v>
      </c>
      <c r="D1558" t="s">
        <v>65</v>
      </c>
      <c r="E1558">
        <v>86</v>
      </c>
      <c r="F1558">
        <v>147</v>
      </c>
      <c r="G1558" s="1">
        <v>950</v>
      </c>
      <c r="H1558" s="1">
        <v>950</v>
      </c>
      <c r="I1558" s="1">
        <v>2280</v>
      </c>
      <c r="J1558" s="1">
        <v>2400</v>
      </c>
    </row>
    <row r="1559" spans="1:10" x14ac:dyDescent="0.3">
      <c r="A1559" t="s">
        <v>195</v>
      </c>
      <c r="B1559" t="s">
        <v>14</v>
      </c>
      <c r="C1559" t="s">
        <v>193</v>
      </c>
      <c r="D1559" t="s">
        <v>65</v>
      </c>
      <c r="E1559">
        <v>86</v>
      </c>
      <c r="F1559">
        <v>147</v>
      </c>
      <c r="G1559" s="1">
        <v>1500</v>
      </c>
      <c r="H1559" s="1">
        <v>1500</v>
      </c>
      <c r="I1559" s="1">
        <v>5250</v>
      </c>
      <c r="J1559" s="1">
        <v>3500</v>
      </c>
    </row>
    <row r="1560" spans="1:10" x14ac:dyDescent="0.3">
      <c r="A1560" t="s">
        <v>195</v>
      </c>
      <c r="B1560" t="s">
        <v>12</v>
      </c>
      <c r="C1560" t="s">
        <v>193</v>
      </c>
      <c r="D1560" t="s">
        <v>65</v>
      </c>
      <c r="E1560">
        <v>86</v>
      </c>
      <c r="F1560">
        <v>147</v>
      </c>
      <c r="G1560" s="1">
        <v>11808</v>
      </c>
      <c r="H1560" s="1">
        <v>11808</v>
      </c>
      <c r="I1560" s="1">
        <v>35425</v>
      </c>
      <c r="J1560" s="1">
        <v>3000</v>
      </c>
    </row>
    <row r="1561" spans="1:10" x14ac:dyDescent="0.3">
      <c r="A1561" t="s">
        <v>195</v>
      </c>
      <c r="B1561" t="s">
        <v>9</v>
      </c>
      <c r="C1561" t="s">
        <v>193</v>
      </c>
      <c r="D1561" t="s">
        <v>65</v>
      </c>
      <c r="E1561">
        <v>86</v>
      </c>
      <c r="F1561">
        <v>147</v>
      </c>
      <c r="G1561" s="1">
        <v>3000</v>
      </c>
      <c r="H1561" s="1">
        <v>3000</v>
      </c>
      <c r="I1561" s="1">
        <v>10500</v>
      </c>
      <c r="J1561" s="1">
        <v>3500</v>
      </c>
    </row>
    <row r="1562" spans="1:10" x14ac:dyDescent="0.3">
      <c r="A1562" t="s">
        <v>195</v>
      </c>
      <c r="B1562" t="s">
        <v>8</v>
      </c>
      <c r="C1562" t="s">
        <v>193</v>
      </c>
      <c r="D1562" t="s">
        <v>65</v>
      </c>
      <c r="E1562">
        <v>86</v>
      </c>
      <c r="F1562">
        <v>147</v>
      </c>
      <c r="G1562" s="1">
        <v>11000</v>
      </c>
      <c r="H1562" s="1">
        <v>11000</v>
      </c>
      <c r="I1562" s="1">
        <v>33000</v>
      </c>
      <c r="J1562" s="1">
        <v>3000</v>
      </c>
    </row>
    <row r="1563" spans="1:10" x14ac:dyDescent="0.3">
      <c r="A1563" t="s">
        <v>195</v>
      </c>
      <c r="B1563" t="s">
        <v>7</v>
      </c>
      <c r="C1563" t="s">
        <v>193</v>
      </c>
      <c r="D1563" t="s">
        <v>65</v>
      </c>
      <c r="E1563">
        <v>86</v>
      </c>
      <c r="F1563">
        <v>147</v>
      </c>
      <c r="G1563" s="1">
        <v>11000</v>
      </c>
      <c r="H1563" s="1">
        <v>11000</v>
      </c>
      <c r="I1563" s="1">
        <v>33000</v>
      </c>
      <c r="J1563" s="1">
        <v>3000</v>
      </c>
    </row>
    <row r="1564" spans="1:10" x14ac:dyDescent="0.3">
      <c r="A1564" t="s">
        <v>195</v>
      </c>
      <c r="B1564" t="s">
        <v>6</v>
      </c>
      <c r="C1564" t="s">
        <v>193</v>
      </c>
      <c r="D1564" t="s">
        <v>65</v>
      </c>
      <c r="E1564">
        <v>86</v>
      </c>
      <c r="F1564">
        <v>147</v>
      </c>
      <c r="G1564" s="1">
        <v>11000</v>
      </c>
      <c r="H1564" s="1">
        <v>11000</v>
      </c>
      <c r="I1564" s="1">
        <v>27500</v>
      </c>
      <c r="J1564" s="1">
        <v>2500</v>
      </c>
    </row>
    <row r="1565" spans="1:10" x14ac:dyDescent="0.3">
      <c r="A1565" t="s">
        <v>195</v>
      </c>
      <c r="B1565" t="s">
        <v>5</v>
      </c>
      <c r="C1565" t="s">
        <v>193</v>
      </c>
      <c r="D1565" t="s">
        <v>65</v>
      </c>
      <c r="E1565">
        <v>86</v>
      </c>
      <c r="F1565">
        <v>147</v>
      </c>
      <c r="G1565" s="1">
        <v>11000</v>
      </c>
      <c r="H1565" s="1">
        <v>11000</v>
      </c>
      <c r="I1565" s="1">
        <v>16500</v>
      </c>
      <c r="J1565" s="1">
        <v>1500</v>
      </c>
    </row>
    <row r="1566" spans="1:10" x14ac:dyDescent="0.3">
      <c r="A1566" t="s">
        <v>195</v>
      </c>
      <c r="B1566" t="s">
        <v>4</v>
      </c>
      <c r="C1566" t="s">
        <v>193</v>
      </c>
      <c r="D1566" t="s">
        <v>65</v>
      </c>
      <c r="E1566">
        <v>86</v>
      </c>
      <c r="F1566">
        <v>147</v>
      </c>
      <c r="G1566" s="1">
        <v>11000</v>
      </c>
      <c r="H1566" s="1">
        <v>10974</v>
      </c>
      <c r="I1566" s="1">
        <v>37970</v>
      </c>
      <c r="J1566" s="1">
        <v>3460</v>
      </c>
    </row>
    <row r="1567" spans="1:10" x14ac:dyDescent="0.3">
      <c r="A1567" t="s">
        <v>195</v>
      </c>
      <c r="B1567" t="s">
        <v>3</v>
      </c>
      <c r="C1567" t="s">
        <v>193</v>
      </c>
      <c r="D1567" t="s">
        <v>65</v>
      </c>
      <c r="E1567">
        <v>86</v>
      </c>
      <c r="F1567">
        <v>147</v>
      </c>
      <c r="G1567" s="1">
        <v>12100</v>
      </c>
      <c r="H1567" s="1">
        <v>12000</v>
      </c>
      <c r="I1567" s="1">
        <v>30120</v>
      </c>
      <c r="J1567" s="1">
        <v>2510</v>
      </c>
    </row>
    <row r="1568" spans="1:10" x14ac:dyDescent="0.3">
      <c r="A1568" t="s">
        <v>195</v>
      </c>
      <c r="B1568" t="s">
        <v>18</v>
      </c>
      <c r="C1568" t="s">
        <v>193</v>
      </c>
      <c r="D1568" t="s">
        <v>58</v>
      </c>
      <c r="E1568">
        <v>86</v>
      </c>
      <c r="F1568">
        <v>154</v>
      </c>
      <c r="G1568" s="1">
        <v>4750</v>
      </c>
      <c r="H1568" s="1">
        <v>4180</v>
      </c>
      <c r="I1568" s="1">
        <v>10032</v>
      </c>
      <c r="J1568" s="1">
        <v>2400</v>
      </c>
    </row>
    <row r="1569" spans="1:10" x14ac:dyDescent="0.3">
      <c r="A1569" t="s">
        <v>195</v>
      </c>
      <c r="B1569" t="s">
        <v>17</v>
      </c>
      <c r="C1569" t="s">
        <v>193</v>
      </c>
      <c r="D1569" t="s">
        <v>58</v>
      </c>
      <c r="E1569">
        <v>86</v>
      </c>
      <c r="F1569">
        <v>154</v>
      </c>
      <c r="G1569" s="1">
        <v>2375</v>
      </c>
      <c r="H1569" s="1">
        <v>2185</v>
      </c>
      <c r="I1569" s="1">
        <v>5025</v>
      </c>
      <c r="J1569" s="1">
        <v>2300</v>
      </c>
    </row>
    <row r="1570" spans="1:10" x14ac:dyDescent="0.3">
      <c r="A1570" t="s">
        <v>195</v>
      </c>
      <c r="B1570" t="s">
        <v>14</v>
      </c>
      <c r="C1570" t="s">
        <v>193</v>
      </c>
      <c r="D1570" t="s">
        <v>58</v>
      </c>
      <c r="E1570">
        <v>86</v>
      </c>
      <c r="F1570">
        <v>154</v>
      </c>
      <c r="G1570" s="1">
        <v>2203</v>
      </c>
      <c r="H1570" s="1">
        <v>2190</v>
      </c>
      <c r="I1570" s="1">
        <v>7446</v>
      </c>
      <c r="J1570" s="1">
        <v>3400</v>
      </c>
    </row>
    <row r="1571" spans="1:10" x14ac:dyDescent="0.3">
      <c r="A1571" t="s">
        <v>195</v>
      </c>
      <c r="B1571" t="s">
        <v>12</v>
      </c>
      <c r="C1571" t="s">
        <v>193</v>
      </c>
      <c r="D1571" t="s">
        <v>58</v>
      </c>
      <c r="E1571">
        <v>86</v>
      </c>
      <c r="F1571">
        <v>154</v>
      </c>
      <c r="G1571" s="1">
        <v>2400</v>
      </c>
      <c r="H1571" s="1">
        <v>2238</v>
      </c>
      <c r="I1571" s="1">
        <v>3581</v>
      </c>
      <c r="J1571" s="1">
        <v>1600</v>
      </c>
    </row>
    <row r="1572" spans="1:10" x14ac:dyDescent="0.3">
      <c r="A1572" t="s">
        <v>195</v>
      </c>
      <c r="B1572" t="s">
        <v>9</v>
      </c>
      <c r="C1572" t="s">
        <v>193</v>
      </c>
      <c r="D1572" t="s">
        <v>58</v>
      </c>
      <c r="E1572">
        <v>86</v>
      </c>
      <c r="F1572">
        <v>154</v>
      </c>
      <c r="G1572" s="1">
        <v>6860</v>
      </c>
      <c r="H1572" s="1">
        <v>6760</v>
      </c>
      <c r="I1572" s="1">
        <v>17576</v>
      </c>
      <c r="J1572" s="1">
        <v>2600</v>
      </c>
    </row>
    <row r="1573" spans="1:10" x14ac:dyDescent="0.3">
      <c r="A1573" t="s">
        <v>195</v>
      </c>
      <c r="B1573" t="s">
        <v>8</v>
      </c>
      <c r="C1573" t="s">
        <v>193</v>
      </c>
      <c r="D1573" t="s">
        <v>58</v>
      </c>
      <c r="E1573">
        <v>86</v>
      </c>
      <c r="F1573">
        <v>154</v>
      </c>
      <c r="G1573" s="1">
        <v>9100</v>
      </c>
      <c r="H1573" s="1">
        <v>8790</v>
      </c>
      <c r="I1573" s="1">
        <v>28128</v>
      </c>
      <c r="J1573" s="1">
        <v>3200</v>
      </c>
    </row>
    <row r="1574" spans="1:10" x14ac:dyDescent="0.3">
      <c r="A1574" t="s">
        <v>195</v>
      </c>
      <c r="B1574" t="s">
        <v>7</v>
      </c>
      <c r="C1574" t="s">
        <v>193</v>
      </c>
      <c r="D1574" t="s">
        <v>58</v>
      </c>
      <c r="E1574">
        <v>86</v>
      </c>
      <c r="F1574">
        <v>154</v>
      </c>
      <c r="G1574" s="1">
        <v>9100</v>
      </c>
      <c r="H1574" s="1">
        <v>9100</v>
      </c>
      <c r="I1574" s="1">
        <v>29120</v>
      </c>
      <c r="J1574" s="1">
        <v>3200</v>
      </c>
    </row>
    <row r="1575" spans="1:10" x14ac:dyDescent="0.3">
      <c r="A1575" t="s">
        <v>195</v>
      </c>
      <c r="B1575" t="s">
        <v>6</v>
      </c>
      <c r="C1575" t="s">
        <v>193</v>
      </c>
      <c r="D1575" t="s">
        <v>58</v>
      </c>
      <c r="E1575">
        <v>86</v>
      </c>
      <c r="F1575">
        <v>154</v>
      </c>
      <c r="G1575" s="1">
        <v>8190</v>
      </c>
      <c r="H1575" s="1">
        <v>8190</v>
      </c>
      <c r="I1575" s="1">
        <v>25389</v>
      </c>
      <c r="J1575" s="1">
        <v>3100</v>
      </c>
    </row>
    <row r="1576" spans="1:10" x14ac:dyDescent="0.3">
      <c r="A1576" t="s">
        <v>195</v>
      </c>
      <c r="B1576" t="s">
        <v>5</v>
      </c>
      <c r="C1576" t="s">
        <v>193</v>
      </c>
      <c r="D1576" t="s">
        <v>58</v>
      </c>
      <c r="E1576">
        <v>86</v>
      </c>
      <c r="F1576">
        <v>154</v>
      </c>
      <c r="G1576" s="1">
        <v>7490</v>
      </c>
      <c r="H1576" s="1">
        <v>7490</v>
      </c>
      <c r="I1576" s="1">
        <v>17976</v>
      </c>
      <c r="J1576" s="1">
        <v>2400</v>
      </c>
    </row>
    <row r="1577" spans="1:10" x14ac:dyDescent="0.3">
      <c r="A1577" t="s">
        <v>195</v>
      </c>
      <c r="B1577" t="s">
        <v>4</v>
      </c>
      <c r="C1577" t="s">
        <v>193</v>
      </c>
      <c r="D1577" t="s">
        <v>58</v>
      </c>
      <c r="E1577">
        <v>86</v>
      </c>
      <c r="F1577">
        <v>154</v>
      </c>
      <c r="G1577" s="1">
        <v>9600</v>
      </c>
      <c r="H1577" s="1">
        <v>9600</v>
      </c>
      <c r="I1577" s="1">
        <v>24432</v>
      </c>
      <c r="J1577" s="1">
        <v>2545</v>
      </c>
    </row>
    <row r="1578" spans="1:10" x14ac:dyDescent="0.3">
      <c r="A1578" t="s">
        <v>195</v>
      </c>
      <c r="B1578" t="s">
        <v>3</v>
      </c>
      <c r="C1578" t="s">
        <v>193</v>
      </c>
      <c r="D1578" t="s">
        <v>58</v>
      </c>
      <c r="E1578">
        <v>86</v>
      </c>
      <c r="F1578">
        <v>154</v>
      </c>
      <c r="G1578" s="1">
        <v>10250</v>
      </c>
      <c r="H1578" s="1">
        <v>9340</v>
      </c>
      <c r="I1578" s="1">
        <v>23350</v>
      </c>
      <c r="J1578" s="1">
        <v>2500</v>
      </c>
    </row>
    <row r="1579" spans="1:10" x14ac:dyDescent="0.3">
      <c r="A1579" t="s">
        <v>195</v>
      </c>
      <c r="B1579" t="s">
        <v>18</v>
      </c>
      <c r="C1579" t="s">
        <v>193</v>
      </c>
      <c r="D1579" t="s">
        <v>42</v>
      </c>
      <c r="E1579">
        <v>86</v>
      </c>
      <c r="F1579">
        <v>161</v>
      </c>
      <c r="G1579" s="1">
        <v>2850</v>
      </c>
      <c r="H1579" s="1">
        <v>2850</v>
      </c>
      <c r="I1579" s="1">
        <v>7125</v>
      </c>
      <c r="J1579" s="1">
        <v>2500</v>
      </c>
    </row>
    <row r="1580" spans="1:10" x14ac:dyDescent="0.3">
      <c r="A1580" t="s">
        <v>195</v>
      </c>
      <c r="B1580" t="s">
        <v>17</v>
      </c>
      <c r="C1580" t="s">
        <v>193</v>
      </c>
      <c r="D1580" t="s">
        <v>42</v>
      </c>
      <c r="E1580">
        <v>86</v>
      </c>
      <c r="F1580">
        <v>161</v>
      </c>
      <c r="G1580" s="1">
        <v>1710</v>
      </c>
      <c r="H1580" s="1">
        <v>1710</v>
      </c>
      <c r="I1580" s="1">
        <v>4617</v>
      </c>
      <c r="J1580" s="1">
        <v>2700</v>
      </c>
    </row>
    <row r="1581" spans="1:10" x14ac:dyDescent="0.3">
      <c r="A1581" t="s">
        <v>195</v>
      </c>
      <c r="B1581" t="s">
        <v>14</v>
      </c>
      <c r="C1581" t="s">
        <v>193</v>
      </c>
      <c r="D1581" t="s">
        <v>42</v>
      </c>
      <c r="E1581">
        <v>86</v>
      </c>
      <c r="F1581">
        <v>161</v>
      </c>
      <c r="G1581" s="1">
        <v>1900</v>
      </c>
      <c r="H1581" s="1">
        <v>1900</v>
      </c>
      <c r="I1581" s="1">
        <v>6650</v>
      </c>
      <c r="J1581" s="1">
        <v>3500</v>
      </c>
    </row>
    <row r="1582" spans="1:10" x14ac:dyDescent="0.3">
      <c r="A1582" t="s">
        <v>195</v>
      </c>
      <c r="B1582" t="s">
        <v>12</v>
      </c>
      <c r="C1582" t="s">
        <v>193</v>
      </c>
      <c r="D1582" t="s">
        <v>42</v>
      </c>
      <c r="E1582">
        <v>86</v>
      </c>
      <c r="F1582">
        <v>161</v>
      </c>
      <c r="G1582" s="1">
        <v>2850</v>
      </c>
      <c r="H1582" s="1">
        <v>2850</v>
      </c>
      <c r="I1582" s="1">
        <v>8550</v>
      </c>
      <c r="J1582" s="1">
        <v>3000</v>
      </c>
    </row>
    <row r="1583" spans="1:10" x14ac:dyDescent="0.3">
      <c r="A1583" t="s">
        <v>195</v>
      </c>
      <c r="B1583" t="s">
        <v>8</v>
      </c>
      <c r="C1583" t="s">
        <v>193</v>
      </c>
      <c r="D1583" t="s">
        <v>42</v>
      </c>
      <c r="E1583">
        <v>86</v>
      </c>
      <c r="F1583">
        <v>161</v>
      </c>
      <c r="G1583" s="1">
        <v>2000</v>
      </c>
      <c r="H1583" s="1">
        <v>2000</v>
      </c>
      <c r="I1583" s="1">
        <v>6000</v>
      </c>
      <c r="J1583" s="1">
        <v>3000</v>
      </c>
    </row>
    <row r="1584" spans="1:10" x14ac:dyDescent="0.3">
      <c r="A1584" t="s">
        <v>195</v>
      </c>
      <c r="B1584" t="s">
        <v>7</v>
      </c>
      <c r="C1584" t="s">
        <v>193</v>
      </c>
      <c r="D1584" t="s">
        <v>42</v>
      </c>
      <c r="E1584">
        <v>86</v>
      </c>
      <c r="F1584">
        <v>161</v>
      </c>
      <c r="G1584" s="1">
        <v>2000</v>
      </c>
      <c r="H1584" s="1">
        <v>2000</v>
      </c>
      <c r="I1584" s="1">
        <v>6000</v>
      </c>
      <c r="J1584" s="1">
        <v>3000</v>
      </c>
    </row>
    <row r="1585" spans="1:10" x14ac:dyDescent="0.3">
      <c r="A1585" t="s">
        <v>195</v>
      </c>
      <c r="B1585" t="s">
        <v>6</v>
      </c>
      <c r="C1585" t="s">
        <v>193</v>
      </c>
      <c r="D1585" t="s">
        <v>42</v>
      </c>
      <c r="E1585">
        <v>86</v>
      </c>
      <c r="F1585">
        <v>161</v>
      </c>
      <c r="G1585" s="1">
        <v>1000</v>
      </c>
      <c r="H1585" s="1">
        <v>1000</v>
      </c>
      <c r="I1585" s="1">
        <v>2500</v>
      </c>
      <c r="J1585" s="1">
        <v>2500</v>
      </c>
    </row>
    <row r="1586" spans="1:10" x14ac:dyDescent="0.3">
      <c r="A1586" t="s">
        <v>195</v>
      </c>
      <c r="B1586" t="s">
        <v>5</v>
      </c>
      <c r="C1586" t="s">
        <v>193</v>
      </c>
      <c r="D1586" t="s">
        <v>42</v>
      </c>
      <c r="E1586">
        <v>86</v>
      </c>
      <c r="F1586">
        <v>161</v>
      </c>
      <c r="G1586" s="1">
        <v>1000</v>
      </c>
      <c r="H1586" s="1">
        <v>1000</v>
      </c>
      <c r="I1586" s="1">
        <v>1500</v>
      </c>
      <c r="J1586" s="1">
        <v>1500</v>
      </c>
    </row>
    <row r="1587" spans="1:10" x14ac:dyDescent="0.3">
      <c r="A1587" t="s">
        <v>195</v>
      </c>
      <c r="B1587" t="s">
        <v>4</v>
      </c>
      <c r="C1587" t="s">
        <v>193</v>
      </c>
      <c r="D1587" t="s">
        <v>42</v>
      </c>
      <c r="E1587">
        <v>86</v>
      </c>
      <c r="F1587">
        <v>161</v>
      </c>
      <c r="G1587" s="1">
        <v>1000</v>
      </c>
      <c r="H1587" s="1">
        <v>997</v>
      </c>
      <c r="I1587" s="1">
        <v>3450</v>
      </c>
      <c r="J1587" s="1">
        <v>3460</v>
      </c>
    </row>
    <row r="1588" spans="1:10" x14ac:dyDescent="0.3">
      <c r="A1588" t="s">
        <v>195</v>
      </c>
      <c r="B1588" t="s">
        <v>3</v>
      </c>
      <c r="C1588" t="s">
        <v>193</v>
      </c>
      <c r="D1588" t="s">
        <v>42</v>
      </c>
      <c r="E1588">
        <v>86</v>
      </c>
      <c r="F1588">
        <v>161</v>
      </c>
      <c r="G1588" s="1">
        <v>1100</v>
      </c>
      <c r="H1588" s="1">
        <v>1020</v>
      </c>
      <c r="I1588" s="1">
        <v>2856</v>
      </c>
      <c r="J1588" s="1">
        <v>2800</v>
      </c>
    </row>
    <row r="1589" spans="1:10" x14ac:dyDescent="0.3">
      <c r="A1589" t="s">
        <v>195</v>
      </c>
      <c r="B1589" t="s">
        <v>18</v>
      </c>
      <c r="C1589" t="s">
        <v>193</v>
      </c>
      <c r="D1589" t="s">
        <v>52</v>
      </c>
      <c r="E1589">
        <v>86</v>
      </c>
      <c r="F1589">
        <v>175</v>
      </c>
      <c r="G1589" s="1">
        <v>475</v>
      </c>
      <c r="H1589" s="1">
        <v>475</v>
      </c>
      <c r="I1589" s="1">
        <v>1187</v>
      </c>
      <c r="J1589" s="1">
        <v>2499</v>
      </c>
    </row>
    <row r="1590" spans="1:10" x14ac:dyDescent="0.3">
      <c r="A1590" t="s">
        <v>195</v>
      </c>
      <c r="B1590" t="s">
        <v>6</v>
      </c>
      <c r="C1590" t="s">
        <v>193</v>
      </c>
      <c r="D1590" t="s">
        <v>52</v>
      </c>
      <c r="E1590">
        <v>86</v>
      </c>
      <c r="F1590">
        <v>175</v>
      </c>
      <c r="G1590" s="1">
        <v>4000</v>
      </c>
      <c r="H1590" s="1">
        <v>4000</v>
      </c>
      <c r="I1590" s="1">
        <v>10000</v>
      </c>
      <c r="J1590" s="1">
        <v>2500</v>
      </c>
    </row>
    <row r="1591" spans="1:10" x14ac:dyDescent="0.3">
      <c r="A1591" t="s">
        <v>195</v>
      </c>
      <c r="B1591" t="s">
        <v>5</v>
      </c>
      <c r="C1591" t="s">
        <v>193</v>
      </c>
      <c r="D1591" t="s">
        <v>52</v>
      </c>
      <c r="E1591">
        <v>86</v>
      </c>
      <c r="F1591">
        <v>175</v>
      </c>
      <c r="G1591" s="1">
        <v>6000</v>
      </c>
      <c r="H1591" s="1">
        <v>6000</v>
      </c>
      <c r="I1591" s="1">
        <v>9000</v>
      </c>
      <c r="J1591" s="1">
        <v>1500</v>
      </c>
    </row>
    <row r="1592" spans="1:10" x14ac:dyDescent="0.3">
      <c r="A1592" t="s">
        <v>195</v>
      </c>
      <c r="B1592" t="s">
        <v>4</v>
      </c>
      <c r="C1592" t="s">
        <v>193</v>
      </c>
      <c r="D1592" t="s">
        <v>52</v>
      </c>
      <c r="E1592">
        <v>86</v>
      </c>
      <c r="F1592">
        <v>175</v>
      </c>
      <c r="G1592" s="1">
        <v>6000</v>
      </c>
      <c r="H1592" s="1">
        <v>5996</v>
      </c>
      <c r="I1592" s="1">
        <v>20746</v>
      </c>
      <c r="J1592" s="1">
        <v>3460</v>
      </c>
    </row>
    <row r="1593" spans="1:10" x14ac:dyDescent="0.3">
      <c r="A1593" t="s">
        <v>195</v>
      </c>
      <c r="B1593" t="s">
        <v>3</v>
      </c>
      <c r="C1593" t="s">
        <v>193</v>
      </c>
      <c r="D1593" t="s">
        <v>52</v>
      </c>
      <c r="E1593">
        <v>86</v>
      </c>
      <c r="F1593">
        <v>175</v>
      </c>
      <c r="G1593" s="1">
        <v>6600</v>
      </c>
      <c r="H1593" s="1">
        <v>6450</v>
      </c>
      <c r="I1593" s="1">
        <v>16125</v>
      </c>
      <c r="J1593" s="1">
        <v>2500</v>
      </c>
    </row>
    <row r="1594" spans="1:10" x14ac:dyDescent="0.3">
      <c r="A1594" t="s">
        <v>195</v>
      </c>
      <c r="B1594" t="s">
        <v>18</v>
      </c>
      <c r="C1594" t="s">
        <v>193</v>
      </c>
      <c r="D1594" t="s">
        <v>33</v>
      </c>
      <c r="E1594">
        <v>86</v>
      </c>
      <c r="F1594">
        <v>189</v>
      </c>
      <c r="G1594" s="1">
        <v>1425</v>
      </c>
      <c r="H1594" s="1">
        <v>1425</v>
      </c>
      <c r="I1594" s="1">
        <v>3562</v>
      </c>
      <c r="J1594" s="1">
        <v>2500</v>
      </c>
    </row>
    <row r="1595" spans="1:10" x14ac:dyDescent="0.3">
      <c r="A1595" t="s">
        <v>195</v>
      </c>
      <c r="B1595" t="s">
        <v>14</v>
      </c>
      <c r="C1595" t="s">
        <v>193</v>
      </c>
      <c r="D1595" t="s">
        <v>33</v>
      </c>
      <c r="E1595">
        <v>86</v>
      </c>
      <c r="F1595">
        <v>189</v>
      </c>
      <c r="G1595" s="1">
        <v>1900</v>
      </c>
      <c r="H1595" s="1">
        <v>1900</v>
      </c>
      <c r="I1595" s="1">
        <v>6650</v>
      </c>
      <c r="J1595" s="1">
        <v>3500</v>
      </c>
    </row>
    <row r="1596" spans="1:10" x14ac:dyDescent="0.3">
      <c r="A1596" t="s">
        <v>195</v>
      </c>
      <c r="B1596" t="s">
        <v>12</v>
      </c>
      <c r="C1596" t="s">
        <v>193</v>
      </c>
      <c r="D1596" t="s">
        <v>33</v>
      </c>
      <c r="E1596">
        <v>86</v>
      </c>
      <c r="F1596">
        <v>189</v>
      </c>
      <c r="G1596" s="1">
        <v>2375</v>
      </c>
      <c r="H1596" s="1">
        <v>2375</v>
      </c>
      <c r="I1596" s="1">
        <v>7125</v>
      </c>
      <c r="J1596" s="1">
        <v>3000</v>
      </c>
    </row>
    <row r="1597" spans="1:10" x14ac:dyDescent="0.3">
      <c r="A1597" t="s">
        <v>195</v>
      </c>
      <c r="B1597" t="s">
        <v>8</v>
      </c>
      <c r="C1597" t="s">
        <v>193</v>
      </c>
      <c r="D1597" t="s">
        <v>33</v>
      </c>
      <c r="E1597">
        <v>86</v>
      </c>
      <c r="F1597">
        <v>189</v>
      </c>
      <c r="G1597" s="1">
        <v>1500</v>
      </c>
      <c r="H1597" s="1">
        <v>1500</v>
      </c>
      <c r="I1597" s="1">
        <v>4500</v>
      </c>
      <c r="J1597" s="1">
        <v>3000</v>
      </c>
    </row>
    <row r="1598" spans="1:10" x14ac:dyDescent="0.3">
      <c r="A1598" t="s">
        <v>195</v>
      </c>
      <c r="B1598" t="s">
        <v>7</v>
      </c>
      <c r="C1598" t="s">
        <v>193</v>
      </c>
      <c r="D1598" t="s">
        <v>33</v>
      </c>
      <c r="E1598">
        <v>86</v>
      </c>
      <c r="F1598">
        <v>189</v>
      </c>
      <c r="G1598" s="1">
        <v>1500</v>
      </c>
      <c r="H1598" s="1">
        <v>1500</v>
      </c>
      <c r="I1598" s="1">
        <v>4500</v>
      </c>
      <c r="J1598" s="1">
        <v>3000</v>
      </c>
    </row>
    <row r="1599" spans="1:10" x14ac:dyDescent="0.3">
      <c r="A1599" t="s">
        <v>195</v>
      </c>
      <c r="B1599" t="s">
        <v>6</v>
      </c>
      <c r="C1599" t="s">
        <v>193</v>
      </c>
      <c r="D1599" t="s">
        <v>33</v>
      </c>
      <c r="E1599">
        <v>86</v>
      </c>
      <c r="F1599">
        <v>189</v>
      </c>
      <c r="G1599" s="1">
        <v>1500</v>
      </c>
      <c r="H1599" s="1">
        <v>1500</v>
      </c>
      <c r="I1599" s="1">
        <v>3750</v>
      </c>
      <c r="J1599" s="1">
        <v>2500</v>
      </c>
    </row>
    <row r="1600" spans="1:10" x14ac:dyDescent="0.3">
      <c r="A1600" t="s">
        <v>195</v>
      </c>
      <c r="B1600" t="s">
        <v>5</v>
      </c>
      <c r="C1600" t="s">
        <v>193</v>
      </c>
      <c r="D1600" t="s">
        <v>33</v>
      </c>
      <c r="E1600">
        <v>86</v>
      </c>
      <c r="F1600">
        <v>189</v>
      </c>
      <c r="G1600" s="1">
        <v>1500</v>
      </c>
      <c r="H1600" s="1">
        <v>1500</v>
      </c>
      <c r="I1600" s="1">
        <v>2250</v>
      </c>
      <c r="J1600" s="1">
        <v>1500</v>
      </c>
    </row>
    <row r="1601" spans="1:10" x14ac:dyDescent="0.3">
      <c r="A1601" t="s">
        <v>195</v>
      </c>
      <c r="B1601" t="s">
        <v>4</v>
      </c>
      <c r="C1601" t="s">
        <v>193</v>
      </c>
      <c r="D1601" t="s">
        <v>33</v>
      </c>
      <c r="E1601">
        <v>86</v>
      </c>
      <c r="F1601">
        <v>189</v>
      </c>
      <c r="G1601" s="1">
        <v>1500</v>
      </c>
      <c r="H1601" s="1">
        <v>1497</v>
      </c>
      <c r="I1601" s="1">
        <v>5240</v>
      </c>
      <c r="J1601" s="1">
        <v>3500</v>
      </c>
    </row>
    <row r="1602" spans="1:10" x14ac:dyDescent="0.3">
      <c r="A1602" t="s">
        <v>195</v>
      </c>
      <c r="B1602" t="s">
        <v>3</v>
      </c>
      <c r="C1602" t="s">
        <v>193</v>
      </c>
      <c r="D1602" t="s">
        <v>33</v>
      </c>
      <c r="E1602">
        <v>86</v>
      </c>
      <c r="F1602">
        <v>189</v>
      </c>
      <c r="G1602" s="1">
        <v>1650</v>
      </c>
      <c r="H1602" s="1">
        <v>1600</v>
      </c>
      <c r="I1602" s="1">
        <v>3360</v>
      </c>
      <c r="J1602" s="1">
        <v>2100</v>
      </c>
    </row>
    <row r="1603" spans="1:10" x14ac:dyDescent="0.3">
      <c r="A1603" t="s">
        <v>194</v>
      </c>
      <c r="B1603" t="s">
        <v>18</v>
      </c>
      <c r="C1603" t="s">
        <v>193</v>
      </c>
      <c r="D1603" t="s">
        <v>64</v>
      </c>
      <c r="E1603">
        <v>86</v>
      </c>
      <c r="F1603">
        <v>7</v>
      </c>
      <c r="G1603" s="1">
        <v>46500</v>
      </c>
      <c r="H1603" s="1">
        <v>37500</v>
      </c>
      <c r="I1603" s="1">
        <v>86250</v>
      </c>
      <c r="J1603" s="1">
        <v>2300</v>
      </c>
    </row>
    <row r="1604" spans="1:10" x14ac:dyDescent="0.3">
      <c r="A1604" t="s">
        <v>194</v>
      </c>
      <c r="B1604" t="s">
        <v>17</v>
      </c>
      <c r="C1604" t="s">
        <v>193</v>
      </c>
      <c r="D1604" t="s">
        <v>64</v>
      </c>
      <c r="E1604">
        <v>86</v>
      </c>
      <c r="F1604">
        <v>7</v>
      </c>
      <c r="G1604" s="1">
        <v>55000</v>
      </c>
      <c r="H1604" s="1">
        <v>55000</v>
      </c>
      <c r="I1604" s="1">
        <v>132000</v>
      </c>
      <c r="J1604" s="1">
        <v>2400</v>
      </c>
    </row>
    <row r="1605" spans="1:10" x14ac:dyDescent="0.3">
      <c r="A1605" t="s">
        <v>194</v>
      </c>
      <c r="B1605" t="s">
        <v>14</v>
      </c>
      <c r="C1605" t="s">
        <v>193</v>
      </c>
      <c r="D1605" t="s">
        <v>64</v>
      </c>
      <c r="E1605">
        <v>86</v>
      </c>
      <c r="F1605">
        <v>7</v>
      </c>
      <c r="G1605" s="1">
        <v>13740</v>
      </c>
      <c r="H1605" s="1">
        <v>13740</v>
      </c>
      <c r="I1605" s="1">
        <v>49464</v>
      </c>
      <c r="J1605" s="1">
        <v>3600</v>
      </c>
    </row>
    <row r="1606" spans="1:10" x14ac:dyDescent="0.3">
      <c r="A1606" t="s">
        <v>194</v>
      </c>
      <c r="B1606" t="s">
        <v>12</v>
      </c>
      <c r="C1606" t="s">
        <v>193</v>
      </c>
      <c r="D1606" t="s">
        <v>64</v>
      </c>
      <c r="E1606">
        <v>86</v>
      </c>
      <c r="F1606">
        <v>7</v>
      </c>
      <c r="G1606" s="1">
        <v>13740</v>
      </c>
      <c r="H1606" s="1">
        <v>13740</v>
      </c>
      <c r="I1606" s="1">
        <v>21984</v>
      </c>
      <c r="J1606" s="1">
        <v>1600</v>
      </c>
    </row>
    <row r="1607" spans="1:10" x14ac:dyDescent="0.3">
      <c r="A1607" t="s">
        <v>194</v>
      </c>
      <c r="B1607" t="s">
        <v>9</v>
      </c>
      <c r="C1607" t="s">
        <v>193</v>
      </c>
      <c r="D1607" t="s">
        <v>64</v>
      </c>
      <c r="E1607">
        <v>86</v>
      </c>
      <c r="F1607">
        <v>7</v>
      </c>
      <c r="G1607" s="1">
        <v>17297</v>
      </c>
      <c r="H1607" s="1">
        <v>15457</v>
      </c>
      <c r="I1607" s="1">
        <v>44449</v>
      </c>
      <c r="J1607" s="1">
        <v>2876</v>
      </c>
    </row>
    <row r="1608" spans="1:10" x14ac:dyDescent="0.3">
      <c r="A1608" t="s">
        <v>194</v>
      </c>
      <c r="B1608" t="s">
        <v>8</v>
      </c>
      <c r="C1608" t="s">
        <v>193</v>
      </c>
      <c r="D1608" t="s">
        <v>64</v>
      </c>
      <c r="E1608">
        <v>86</v>
      </c>
      <c r="F1608">
        <v>7</v>
      </c>
      <c r="G1608" s="1">
        <v>30500</v>
      </c>
      <c r="H1608" s="1">
        <v>30295</v>
      </c>
      <c r="I1608" s="1">
        <v>97437</v>
      </c>
      <c r="J1608" s="1">
        <v>3216</v>
      </c>
    </row>
    <row r="1609" spans="1:10" x14ac:dyDescent="0.3">
      <c r="A1609" t="s">
        <v>194</v>
      </c>
      <c r="B1609" t="s">
        <v>7</v>
      </c>
      <c r="C1609" t="s">
        <v>193</v>
      </c>
      <c r="D1609" t="s">
        <v>64</v>
      </c>
      <c r="E1609">
        <v>86</v>
      </c>
      <c r="F1609">
        <v>7</v>
      </c>
      <c r="G1609" s="1">
        <v>30500</v>
      </c>
      <c r="H1609" s="1">
        <v>30500</v>
      </c>
      <c r="I1609" s="1">
        <v>94300</v>
      </c>
      <c r="J1609" s="1">
        <v>3092</v>
      </c>
    </row>
    <row r="1610" spans="1:10" x14ac:dyDescent="0.3">
      <c r="A1610" t="s">
        <v>194</v>
      </c>
      <c r="B1610" t="s">
        <v>6</v>
      </c>
      <c r="C1610" t="s">
        <v>193</v>
      </c>
      <c r="D1610" t="s">
        <v>64</v>
      </c>
      <c r="E1610">
        <v>86</v>
      </c>
      <c r="F1610">
        <v>7</v>
      </c>
      <c r="G1610" s="1">
        <v>30500</v>
      </c>
      <c r="H1610" s="1">
        <v>30500</v>
      </c>
      <c r="I1610" s="1">
        <v>85400</v>
      </c>
      <c r="J1610" s="1">
        <v>2800</v>
      </c>
    </row>
    <row r="1611" spans="1:10" x14ac:dyDescent="0.3">
      <c r="A1611" t="s">
        <v>194</v>
      </c>
      <c r="B1611" t="s">
        <v>5</v>
      </c>
      <c r="C1611" t="s">
        <v>193</v>
      </c>
      <c r="D1611" t="s">
        <v>64</v>
      </c>
      <c r="E1611">
        <v>86</v>
      </c>
      <c r="F1611">
        <v>7</v>
      </c>
      <c r="G1611" s="1">
        <v>30500</v>
      </c>
      <c r="H1611" s="1">
        <v>30500</v>
      </c>
      <c r="I1611" s="1">
        <v>73900</v>
      </c>
      <c r="J1611" s="1">
        <v>2423</v>
      </c>
    </row>
    <row r="1612" spans="1:10" x14ac:dyDescent="0.3">
      <c r="A1612" t="s">
        <v>194</v>
      </c>
      <c r="B1612" t="s">
        <v>4</v>
      </c>
      <c r="C1612" t="s">
        <v>193</v>
      </c>
      <c r="D1612" t="s">
        <v>64</v>
      </c>
      <c r="E1612">
        <v>86</v>
      </c>
      <c r="F1612">
        <v>7</v>
      </c>
      <c r="G1612" s="1">
        <v>30100</v>
      </c>
      <c r="H1612" s="1">
        <v>29650</v>
      </c>
      <c r="I1612" s="1">
        <v>69717</v>
      </c>
      <c r="J1612" s="1">
        <v>2351</v>
      </c>
    </row>
    <row r="1613" spans="1:10" x14ac:dyDescent="0.3">
      <c r="A1613" t="s">
        <v>194</v>
      </c>
      <c r="B1613" t="s">
        <v>3</v>
      </c>
      <c r="C1613" t="s">
        <v>193</v>
      </c>
      <c r="D1613" t="s">
        <v>64</v>
      </c>
      <c r="E1613">
        <v>86</v>
      </c>
      <c r="F1613">
        <v>7</v>
      </c>
      <c r="G1613" s="1">
        <v>38300</v>
      </c>
      <c r="H1613" s="1">
        <v>36760</v>
      </c>
      <c r="I1613" s="1">
        <v>87062</v>
      </c>
      <c r="J1613" s="1">
        <v>2368</v>
      </c>
    </row>
    <row r="1614" spans="1:10" x14ac:dyDescent="0.3">
      <c r="A1614" t="s">
        <v>194</v>
      </c>
      <c r="B1614" t="s">
        <v>18</v>
      </c>
      <c r="C1614" t="s">
        <v>193</v>
      </c>
      <c r="D1614" t="s">
        <v>62</v>
      </c>
      <c r="E1614">
        <v>86</v>
      </c>
      <c r="F1614">
        <v>14</v>
      </c>
      <c r="G1614" s="1">
        <v>95000</v>
      </c>
      <c r="H1614" s="1">
        <v>94000</v>
      </c>
      <c r="I1614" s="1">
        <v>244400</v>
      </c>
      <c r="J1614" s="1">
        <v>2600</v>
      </c>
    </row>
    <row r="1615" spans="1:10" x14ac:dyDescent="0.3">
      <c r="A1615" t="s">
        <v>194</v>
      </c>
      <c r="B1615" t="s">
        <v>17</v>
      </c>
      <c r="C1615" t="s">
        <v>193</v>
      </c>
      <c r="D1615" t="s">
        <v>62</v>
      </c>
      <c r="E1615">
        <v>86</v>
      </c>
      <c r="F1615">
        <v>14</v>
      </c>
      <c r="G1615" s="1">
        <v>116000</v>
      </c>
      <c r="H1615" s="1">
        <v>116000</v>
      </c>
      <c r="I1615" s="1">
        <v>336400</v>
      </c>
      <c r="J1615" s="1">
        <v>2900</v>
      </c>
    </row>
    <row r="1616" spans="1:10" x14ac:dyDescent="0.3">
      <c r="A1616" t="s">
        <v>194</v>
      </c>
      <c r="B1616" t="s">
        <v>14</v>
      </c>
      <c r="C1616" t="s">
        <v>193</v>
      </c>
      <c r="D1616" t="s">
        <v>62</v>
      </c>
      <c r="E1616">
        <v>86</v>
      </c>
      <c r="F1616">
        <v>14</v>
      </c>
      <c r="G1616" s="1">
        <v>68080</v>
      </c>
      <c r="H1616" s="1">
        <v>68080</v>
      </c>
      <c r="I1616" s="1">
        <v>265512</v>
      </c>
      <c r="J1616" s="1">
        <v>3900</v>
      </c>
    </row>
    <row r="1617" spans="1:10" x14ac:dyDescent="0.3">
      <c r="A1617" t="s">
        <v>194</v>
      </c>
      <c r="B1617" t="s">
        <v>12</v>
      </c>
      <c r="C1617" t="s">
        <v>193</v>
      </c>
      <c r="D1617" t="s">
        <v>62</v>
      </c>
      <c r="E1617">
        <v>86</v>
      </c>
      <c r="F1617">
        <v>14</v>
      </c>
      <c r="G1617" s="1">
        <v>69000</v>
      </c>
      <c r="H1617" s="1">
        <v>69000</v>
      </c>
      <c r="I1617" s="1">
        <v>227700</v>
      </c>
      <c r="J1617" s="1">
        <v>3300</v>
      </c>
    </row>
    <row r="1618" spans="1:10" x14ac:dyDescent="0.3">
      <c r="A1618" t="s">
        <v>194</v>
      </c>
      <c r="B1618" t="s">
        <v>9</v>
      </c>
      <c r="C1618" t="s">
        <v>193</v>
      </c>
      <c r="D1618" t="s">
        <v>62</v>
      </c>
      <c r="E1618">
        <v>86</v>
      </c>
      <c r="F1618">
        <v>14</v>
      </c>
      <c r="G1618" s="1">
        <v>114800</v>
      </c>
      <c r="H1618" s="1">
        <v>110800</v>
      </c>
      <c r="I1618" s="1">
        <v>342323</v>
      </c>
      <c r="J1618" s="1">
        <v>3090</v>
      </c>
    </row>
    <row r="1619" spans="1:10" x14ac:dyDescent="0.3">
      <c r="A1619" t="s">
        <v>194</v>
      </c>
      <c r="B1619" t="s">
        <v>8</v>
      </c>
      <c r="C1619" t="s">
        <v>193</v>
      </c>
      <c r="D1619" t="s">
        <v>62</v>
      </c>
      <c r="E1619">
        <v>86</v>
      </c>
      <c r="F1619">
        <v>14</v>
      </c>
      <c r="G1619" s="1">
        <v>124150</v>
      </c>
      <c r="H1619" s="1">
        <v>123360</v>
      </c>
      <c r="I1619" s="1">
        <v>421911</v>
      </c>
      <c r="J1619" s="1">
        <v>3420</v>
      </c>
    </row>
    <row r="1620" spans="1:10" x14ac:dyDescent="0.3">
      <c r="A1620" t="s">
        <v>194</v>
      </c>
      <c r="B1620" t="s">
        <v>7</v>
      </c>
      <c r="C1620" t="s">
        <v>193</v>
      </c>
      <c r="D1620" t="s">
        <v>62</v>
      </c>
      <c r="E1620">
        <v>86</v>
      </c>
      <c r="F1620">
        <v>14</v>
      </c>
      <c r="G1620" s="1">
        <v>124150</v>
      </c>
      <c r="H1620" s="1">
        <v>124150</v>
      </c>
      <c r="I1620" s="1">
        <v>387660</v>
      </c>
      <c r="J1620" s="1">
        <v>3123</v>
      </c>
    </row>
    <row r="1621" spans="1:10" x14ac:dyDescent="0.3">
      <c r="A1621" t="s">
        <v>194</v>
      </c>
      <c r="B1621" t="s">
        <v>6</v>
      </c>
      <c r="C1621" t="s">
        <v>193</v>
      </c>
      <c r="D1621" t="s">
        <v>62</v>
      </c>
      <c r="E1621">
        <v>86</v>
      </c>
      <c r="F1621">
        <v>14</v>
      </c>
      <c r="G1621" s="1">
        <v>121355</v>
      </c>
      <c r="H1621" s="1">
        <v>121355</v>
      </c>
      <c r="I1621" s="1">
        <v>397956</v>
      </c>
      <c r="J1621" s="1">
        <v>3279</v>
      </c>
    </row>
    <row r="1622" spans="1:10" x14ac:dyDescent="0.3">
      <c r="A1622" t="s">
        <v>194</v>
      </c>
      <c r="B1622" t="s">
        <v>5</v>
      </c>
      <c r="C1622" t="s">
        <v>193</v>
      </c>
      <c r="D1622" t="s">
        <v>62</v>
      </c>
      <c r="E1622">
        <v>86</v>
      </c>
      <c r="F1622">
        <v>14</v>
      </c>
      <c r="G1622" s="1">
        <v>122455</v>
      </c>
      <c r="H1622" s="1">
        <v>122455</v>
      </c>
      <c r="I1622" s="1">
        <v>334028</v>
      </c>
      <c r="J1622" s="1">
        <v>2728</v>
      </c>
    </row>
    <row r="1623" spans="1:10" x14ac:dyDescent="0.3">
      <c r="A1623" t="s">
        <v>194</v>
      </c>
      <c r="B1623" t="s">
        <v>4</v>
      </c>
      <c r="C1623" t="s">
        <v>193</v>
      </c>
      <c r="D1623" t="s">
        <v>62</v>
      </c>
      <c r="E1623">
        <v>86</v>
      </c>
      <c r="F1623">
        <v>14</v>
      </c>
      <c r="G1623" s="1">
        <v>117500</v>
      </c>
      <c r="H1623" s="1">
        <v>112780</v>
      </c>
      <c r="I1623" s="1">
        <v>199254</v>
      </c>
      <c r="J1623" s="1">
        <v>1767</v>
      </c>
    </row>
    <row r="1624" spans="1:10" x14ac:dyDescent="0.3">
      <c r="A1624" t="s">
        <v>194</v>
      </c>
      <c r="B1624" t="s">
        <v>3</v>
      </c>
      <c r="C1624" t="s">
        <v>193</v>
      </c>
      <c r="D1624" t="s">
        <v>62</v>
      </c>
      <c r="E1624">
        <v>86</v>
      </c>
      <c r="F1624">
        <v>14</v>
      </c>
      <c r="G1624" s="1">
        <v>143930</v>
      </c>
      <c r="H1624" s="1">
        <v>103626</v>
      </c>
      <c r="I1624" s="1">
        <v>72538</v>
      </c>
      <c r="J1624" s="1">
        <v>700</v>
      </c>
    </row>
    <row r="1625" spans="1:10" x14ac:dyDescent="0.3">
      <c r="A1625" t="s">
        <v>194</v>
      </c>
      <c r="B1625" t="s">
        <v>5</v>
      </c>
      <c r="C1625" t="s">
        <v>193</v>
      </c>
      <c r="D1625" t="s">
        <v>27</v>
      </c>
      <c r="E1625">
        <v>86</v>
      </c>
      <c r="F1625">
        <v>21</v>
      </c>
      <c r="G1625" s="1">
        <v>500</v>
      </c>
      <c r="H1625" s="1">
        <v>500</v>
      </c>
      <c r="I1625" s="1">
        <v>750</v>
      </c>
      <c r="J1625" s="1">
        <v>1500</v>
      </c>
    </row>
    <row r="1626" spans="1:10" x14ac:dyDescent="0.3">
      <c r="A1626" t="s">
        <v>194</v>
      </c>
      <c r="B1626" t="s">
        <v>4</v>
      </c>
      <c r="C1626" t="s">
        <v>193</v>
      </c>
      <c r="D1626" t="s">
        <v>27</v>
      </c>
      <c r="E1626">
        <v>86</v>
      </c>
      <c r="F1626">
        <v>21</v>
      </c>
      <c r="G1626" s="1">
        <v>500</v>
      </c>
      <c r="H1626" s="1">
        <v>500</v>
      </c>
      <c r="I1626" s="1">
        <v>1520</v>
      </c>
      <c r="J1626" s="1">
        <v>3040</v>
      </c>
    </row>
    <row r="1627" spans="1:10" x14ac:dyDescent="0.3">
      <c r="A1627" t="s">
        <v>194</v>
      </c>
      <c r="B1627" t="s">
        <v>3</v>
      </c>
      <c r="C1627" t="s">
        <v>193</v>
      </c>
      <c r="D1627" t="s">
        <v>27</v>
      </c>
      <c r="E1627">
        <v>86</v>
      </c>
      <c r="F1627">
        <v>21</v>
      </c>
      <c r="G1627" s="1">
        <v>575</v>
      </c>
      <c r="H1627" s="1">
        <v>540</v>
      </c>
      <c r="I1627" s="1">
        <v>1188</v>
      </c>
      <c r="J1627" s="1">
        <v>2200</v>
      </c>
    </row>
    <row r="1628" spans="1:10" x14ac:dyDescent="0.3">
      <c r="A1628" t="s">
        <v>194</v>
      </c>
      <c r="B1628" t="s">
        <v>18</v>
      </c>
      <c r="C1628" t="s">
        <v>193</v>
      </c>
      <c r="D1628" t="s">
        <v>37</v>
      </c>
      <c r="E1628">
        <v>86</v>
      </c>
      <c r="F1628">
        <v>28</v>
      </c>
      <c r="G1628" s="1">
        <v>3500</v>
      </c>
      <c r="H1628" s="1">
        <v>2500</v>
      </c>
      <c r="I1628" s="1">
        <v>5000</v>
      </c>
      <c r="J1628" s="1">
        <v>2000</v>
      </c>
    </row>
    <row r="1629" spans="1:10" x14ac:dyDescent="0.3">
      <c r="A1629" t="s">
        <v>194</v>
      </c>
      <c r="B1629" t="s">
        <v>17</v>
      </c>
      <c r="C1629" t="s">
        <v>193</v>
      </c>
      <c r="D1629" t="s">
        <v>37</v>
      </c>
      <c r="E1629">
        <v>86</v>
      </c>
      <c r="F1629">
        <v>28</v>
      </c>
      <c r="G1629" s="1">
        <v>3500</v>
      </c>
      <c r="H1629" s="1">
        <v>3500</v>
      </c>
      <c r="I1629" s="1">
        <v>7350</v>
      </c>
      <c r="J1629" s="1">
        <v>2100</v>
      </c>
    </row>
    <row r="1630" spans="1:10" x14ac:dyDescent="0.3">
      <c r="A1630" t="s">
        <v>194</v>
      </c>
      <c r="B1630" t="s">
        <v>14</v>
      </c>
      <c r="C1630" t="s">
        <v>193</v>
      </c>
      <c r="D1630" t="s">
        <v>37</v>
      </c>
      <c r="E1630">
        <v>86</v>
      </c>
      <c r="F1630">
        <v>28</v>
      </c>
      <c r="G1630" s="1">
        <v>3500</v>
      </c>
      <c r="H1630" s="1">
        <v>3380</v>
      </c>
      <c r="I1630" s="1">
        <v>11492</v>
      </c>
      <c r="J1630" s="1">
        <v>3400</v>
      </c>
    </row>
    <row r="1631" spans="1:10" x14ac:dyDescent="0.3">
      <c r="A1631" t="s">
        <v>194</v>
      </c>
      <c r="B1631" t="s">
        <v>12</v>
      </c>
      <c r="C1631" t="s">
        <v>193</v>
      </c>
      <c r="D1631" t="s">
        <v>37</v>
      </c>
      <c r="E1631">
        <v>86</v>
      </c>
      <c r="F1631">
        <v>28</v>
      </c>
      <c r="G1631" s="1">
        <v>50</v>
      </c>
      <c r="H1631" s="1">
        <v>50</v>
      </c>
      <c r="I1631" s="1">
        <v>140</v>
      </c>
      <c r="J1631" s="1">
        <v>2800</v>
      </c>
    </row>
    <row r="1632" spans="1:10" x14ac:dyDescent="0.3">
      <c r="A1632" t="s">
        <v>194</v>
      </c>
      <c r="B1632" t="s">
        <v>9</v>
      </c>
      <c r="C1632" t="s">
        <v>193</v>
      </c>
      <c r="D1632" t="s">
        <v>37</v>
      </c>
      <c r="E1632">
        <v>86</v>
      </c>
      <c r="F1632">
        <v>28</v>
      </c>
      <c r="G1632" s="1">
        <v>3500</v>
      </c>
      <c r="H1632" s="1">
        <v>3380</v>
      </c>
      <c r="I1632" s="1">
        <v>10478</v>
      </c>
      <c r="J1632" s="1">
        <v>3100</v>
      </c>
    </row>
    <row r="1633" spans="1:10" x14ac:dyDescent="0.3">
      <c r="A1633" t="s">
        <v>194</v>
      </c>
      <c r="B1633" t="s">
        <v>8</v>
      </c>
      <c r="C1633" t="s">
        <v>193</v>
      </c>
      <c r="D1633" t="s">
        <v>37</v>
      </c>
      <c r="E1633">
        <v>86</v>
      </c>
      <c r="F1633">
        <v>28</v>
      </c>
      <c r="G1633" s="1">
        <v>3600</v>
      </c>
      <c r="H1633" s="1">
        <v>3600</v>
      </c>
      <c r="I1633" s="1">
        <v>10800</v>
      </c>
      <c r="J1633" s="1">
        <v>3000</v>
      </c>
    </row>
    <row r="1634" spans="1:10" x14ac:dyDescent="0.3">
      <c r="A1634" t="s">
        <v>194</v>
      </c>
      <c r="B1634" t="s">
        <v>7</v>
      </c>
      <c r="C1634" t="s">
        <v>193</v>
      </c>
      <c r="D1634" t="s">
        <v>37</v>
      </c>
      <c r="E1634">
        <v>86</v>
      </c>
      <c r="F1634">
        <v>28</v>
      </c>
      <c r="G1634" s="1">
        <v>3600</v>
      </c>
      <c r="H1634" s="1">
        <v>3600</v>
      </c>
      <c r="I1634" s="1">
        <v>11520</v>
      </c>
      <c r="J1634" s="1">
        <v>3200</v>
      </c>
    </row>
    <row r="1635" spans="1:10" x14ac:dyDescent="0.3">
      <c r="A1635" t="s">
        <v>194</v>
      </c>
      <c r="B1635" t="s">
        <v>6</v>
      </c>
      <c r="C1635" t="s">
        <v>193</v>
      </c>
      <c r="D1635" t="s">
        <v>37</v>
      </c>
      <c r="E1635">
        <v>86</v>
      </c>
      <c r="F1635">
        <v>28</v>
      </c>
      <c r="G1635" s="1">
        <v>3600</v>
      </c>
      <c r="H1635" s="1">
        <v>3600</v>
      </c>
      <c r="I1635" s="1">
        <v>10440</v>
      </c>
      <c r="J1635" s="1">
        <v>2900</v>
      </c>
    </row>
    <row r="1636" spans="1:10" x14ac:dyDescent="0.3">
      <c r="A1636" t="s">
        <v>194</v>
      </c>
      <c r="B1636" t="s">
        <v>5</v>
      </c>
      <c r="C1636" t="s">
        <v>193</v>
      </c>
      <c r="D1636" t="s">
        <v>37</v>
      </c>
      <c r="E1636">
        <v>86</v>
      </c>
      <c r="F1636">
        <v>28</v>
      </c>
      <c r="G1636" s="1">
        <v>5600</v>
      </c>
      <c r="H1636" s="1">
        <v>5600</v>
      </c>
      <c r="I1636" s="1">
        <v>14392</v>
      </c>
      <c r="J1636" s="1">
        <v>2570</v>
      </c>
    </row>
    <row r="1637" spans="1:10" x14ac:dyDescent="0.3">
      <c r="A1637" t="s">
        <v>194</v>
      </c>
      <c r="B1637" t="s">
        <v>4</v>
      </c>
      <c r="C1637" t="s">
        <v>193</v>
      </c>
      <c r="D1637" t="s">
        <v>37</v>
      </c>
      <c r="E1637">
        <v>86</v>
      </c>
      <c r="F1637">
        <v>28</v>
      </c>
      <c r="G1637" s="1">
        <v>4800</v>
      </c>
      <c r="H1637" s="1">
        <v>4680</v>
      </c>
      <c r="I1637" s="1">
        <v>11326</v>
      </c>
      <c r="J1637" s="1">
        <v>2420</v>
      </c>
    </row>
    <row r="1638" spans="1:10" x14ac:dyDescent="0.3">
      <c r="A1638" t="s">
        <v>194</v>
      </c>
      <c r="B1638" t="s">
        <v>3</v>
      </c>
      <c r="C1638" t="s">
        <v>193</v>
      </c>
      <c r="D1638" t="s">
        <v>37</v>
      </c>
      <c r="E1638">
        <v>86</v>
      </c>
      <c r="F1638">
        <v>28</v>
      </c>
      <c r="G1638" s="1">
        <v>5850</v>
      </c>
      <c r="H1638" s="1">
        <v>5640</v>
      </c>
      <c r="I1638" s="1">
        <v>10152</v>
      </c>
      <c r="J1638" s="1">
        <v>1800</v>
      </c>
    </row>
    <row r="1639" spans="1:10" x14ac:dyDescent="0.3">
      <c r="A1639" t="s">
        <v>194</v>
      </c>
      <c r="B1639" t="s">
        <v>18</v>
      </c>
      <c r="C1639" t="s">
        <v>193</v>
      </c>
      <c r="D1639" t="s">
        <v>44</v>
      </c>
      <c r="E1639">
        <v>86</v>
      </c>
      <c r="F1639">
        <v>35</v>
      </c>
      <c r="G1639" s="1">
        <v>4000</v>
      </c>
      <c r="H1639" s="1">
        <v>4000</v>
      </c>
      <c r="I1639" s="1">
        <v>10000</v>
      </c>
      <c r="J1639" s="1">
        <v>2500</v>
      </c>
    </row>
    <row r="1640" spans="1:10" x14ac:dyDescent="0.3">
      <c r="A1640" t="s">
        <v>194</v>
      </c>
      <c r="B1640" t="s">
        <v>17</v>
      </c>
      <c r="C1640" t="s">
        <v>193</v>
      </c>
      <c r="D1640" t="s">
        <v>44</v>
      </c>
      <c r="E1640">
        <v>86</v>
      </c>
      <c r="F1640">
        <v>35</v>
      </c>
      <c r="G1640" s="1">
        <v>4000</v>
      </c>
      <c r="H1640" s="1">
        <v>4000</v>
      </c>
      <c r="I1640" s="1">
        <v>8800</v>
      </c>
      <c r="J1640" s="1">
        <v>2200</v>
      </c>
    </row>
    <row r="1641" spans="1:10" x14ac:dyDescent="0.3">
      <c r="A1641" t="s">
        <v>194</v>
      </c>
      <c r="B1641" t="s">
        <v>14</v>
      </c>
      <c r="C1641" t="s">
        <v>193</v>
      </c>
      <c r="D1641" t="s">
        <v>44</v>
      </c>
      <c r="E1641">
        <v>86</v>
      </c>
      <c r="F1641">
        <v>35</v>
      </c>
      <c r="G1641" s="1">
        <v>4000</v>
      </c>
      <c r="H1641" s="1">
        <v>4000</v>
      </c>
      <c r="I1641" s="1">
        <v>12000</v>
      </c>
      <c r="J1641" s="1">
        <v>3000</v>
      </c>
    </row>
    <row r="1642" spans="1:10" x14ac:dyDescent="0.3">
      <c r="A1642" t="s">
        <v>194</v>
      </c>
      <c r="B1642" t="s">
        <v>12</v>
      </c>
      <c r="C1642" t="s">
        <v>193</v>
      </c>
      <c r="D1642" t="s">
        <v>44</v>
      </c>
      <c r="E1642">
        <v>86</v>
      </c>
      <c r="F1642">
        <v>35</v>
      </c>
      <c r="G1642" s="1">
        <v>4000</v>
      </c>
      <c r="H1642" s="1">
        <v>4000</v>
      </c>
      <c r="I1642" s="1">
        <v>10000</v>
      </c>
      <c r="J1642" s="1">
        <v>2500</v>
      </c>
    </row>
    <row r="1643" spans="1:10" x14ac:dyDescent="0.3">
      <c r="A1643" t="s">
        <v>194</v>
      </c>
      <c r="B1643" t="s">
        <v>9</v>
      </c>
      <c r="C1643" t="s">
        <v>193</v>
      </c>
      <c r="D1643" t="s">
        <v>44</v>
      </c>
      <c r="E1643">
        <v>86</v>
      </c>
      <c r="F1643">
        <v>35</v>
      </c>
      <c r="G1643" s="1">
        <v>4600</v>
      </c>
      <c r="H1643" s="1">
        <v>4600</v>
      </c>
      <c r="I1643" s="1">
        <v>13800</v>
      </c>
      <c r="J1643" s="1">
        <v>3000</v>
      </c>
    </row>
    <row r="1644" spans="1:10" x14ac:dyDescent="0.3">
      <c r="A1644" t="s">
        <v>194</v>
      </c>
      <c r="B1644" t="s">
        <v>8</v>
      </c>
      <c r="C1644" t="s">
        <v>193</v>
      </c>
      <c r="D1644" t="s">
        <v>44</v>
      </c>
      <c r="E1644">
        <v>86</v>
      </c>
      <c r="F1644">
        <v>35</v>
      </c>
      <c r="G1644" s="1">
        <v>4000</v>
      </c>
      <c r="H1644" s="1">
        <v>4000</v>
      </c>
      <c r="I1644" s="1">
        <v>12000</v>
      </c>
      <c r="J1644" s="1">
        <v>3000</v>
      </c>
    </row>
    <row r="1645" spans="1:10" x14ac:dyDescent="0.3">
      <c r="A1645" t="s">
        <v>194</v>
      </c>
      <c r="B1645" t="s">
        <v>7</v>
      </c>
      <c r="C1645" t="s">
        <v>193</v>
      </c>
      <c r="D1645" t="s">
        <v>44</v>
      </c>
      <c r="E1645">
        <v>86</v>
      </c>
      <c r="F1645">
        <v>35</v>
      </c>
      <c r="G1645" s="1">
        <v>4000</v>
      </c>
      <c r="H1645" s="1">
        <v>4000</v>
      </c>
      <c r="I1645" s="1">
        <v>12000</v>
      </c>
      <c r="J1645" s="1">
        <v>3000</v>
      </c>
    </row>
    <row r="1646" spans="1:10" x14ac:dyDescent="0.3">
      <c r="A1646" t="s">
        <v>194</v>
      </c>
      <c r="B1646" t="s">
        <v>6</v>
      </c>
      <c r="C1646" t="s">
        <v>193</v>
      </c>
      <c r="D1646" t="s">
        <v>44</v>
      </c>
      <c r="E1646">
        <v>86</v>
      </c>
      <c r="F1646">
        <v>35</v>
      </c>
      <c r="G1646" s="1">
        <v>4500</v>
      </c>
      <c r="H1646" s="1">
        <v>4500</v>
      </c>
      <c r="I1646" s="1">
        <v>11250</v>
      </c>
      <c r="J1646" s="1">
        <v>2500</v>
      </c>
    </row>
    <row r="1647" spans="1:10" x14ac:dyDescent="0.3">
      <c r="A1647" t="s">
        <v>194</v>
      </c>
      <c r="B1647" t="s">
        <v>5</v>
      </c>
      <c r="C1647" t="s">
        <v>193</v>
      </c>
      <c r="D1647" t="s">
        <v>44</v>
      </c>
      <c r="E1647">
        <v>86</v>
      </c>
      <c r="F1647">
        <v>35</v>
      </c>
      <c r="G1647" s="1">
        <v>5000</v>
      </c>
      <c r="H1647" s="1">
        <v>5000</v>
      </c>
      <c r="I1647" s="1">
        <v>7500</v>
      </c>
      <c r="J1647" s="1">
        <v>1500</v>
      </c>
    </row>
    <row r="1648" spans="1:10" x14ac:dyDescent="0.3">
      <c r="A1648" t="s">
        <v>194</v>
      </c>
      <c r="B1648" t="s">
        <v>4</v>
      </c>
      <c r="C1648" t="s">
        <v>193</v>
      </c>
      <c r="D1648" t="s">
        <v>44</v>
      </c>
      <c r="E1648">
        <v>86</v>
      </c>
      <c r="F1648">
        <v>35</v>
      </c>
      <c r="G1648" s="1">
        <v>5000</v>
      </c>
      <c r="H1648" s="1">
        <v>5000</v>
      </c>
      <c r="I1648" s="1">
        <v>15048</v>
      </c>
      <c r="J1648" s="1">
        <v>3010</v>
      </c>
    </row>
    <row r="1649" spans="1:10" x14ac:dyDescent="0.3">
      <c r="A1649" t="s">
        <v>194</v>
      </c>
      <c r="B1649" t="s">
        <v>3</v>
      </c>
      <c r="C1649" t="s">
        <v>193</v>
      </c>
      <c r="D1649" t="s">
        <v>44</v>
      </c>
      <c r="E1649">
        <v>86</v>
      </c>
      <c r="F1649">
        <v>35</v>
      </c>
      <c r="G1649" s="1">
        <v>5800</v>
      </c>
      <c r="H1649" s="1">
        <v>5715</v>
      </c>
      <c r="I1649" s="1">
        <v>15187</v>
      </c>
      <c r="J1649" s="1">
        <v>2657</v>
      </c>
    </row>
    <row r="1650" spans="1:10" x14ac:dyDescent="0.3">
      <c r="A1650" t="s">
        <v>194</v>
      </c>
      <c r="B1650" t="s">
        <v>18</v>
      </c>
      <c r="C1650" t="s">
        <v>193</v>
      </c>
      <c r="D1650" t="s">
        <v>74</v>
      </c>
      <c r="E1650">
        <v>86</v>
      </c>
      <c r="F1650">
        <v>42</v>
      </c>
      <c r="G1650" s="1">
        <v>105000</v>
      </c>
      <c r="H1650" s="1">
        <v>74000</v>
      </c>
      <c r="I1650" s="1">
        <v>133200</v>
      </c>
      <c r="J1650" s="1">
        <v>1800</v>
      </c>
    </row>
    <row r="1651" spans="1:10" x14ac:dyDescent="0.3">
      <c r="A1651" t="s">
        <v>194</v>
      </c>
      <c r="B1651" t="s">
        <v>17</v>
      </c>
      <c r="C1651" t="s">
        <v>193</v>
      </c>
      <c r="D1651" t="s">
        <v>74</v>
      </c>
      <c r="E1651">
        <v>86</v>
      </c>
      <c r="F1651">
        <v>42</v>
      </c>
      <c r="G1651" s="1">
        <v>112000</v>
      </c>
      <c r="H1651" s="1">
        <v>102000</v>
      </c>
      <c r="I1651" s="1">
        <v>275400</v>
      </c>
      <c r="J1651" s="1">
        <v>2700</v>
      </c>
    </row>
    <row r="1652" spans="1:10" x14ac:dyDescent="0.3">
      <c r="A1652" t="s">
        <v>194</v>
      </c>
      <c r="B1652" t="s">
        <v>14</v>
      </c>
      <c r="C1652" t="s">
        <v>193</v>
      </c>
      <c r="D1652" t="s">
        <v>74</v>
      </c>
      <c r="E1652">
        <v>86</v>
      </c>
      <c r="F1652">
        <v>42</v>
      </c>
      <c r="G1652" s="1">
        <v>103000</v>
      </c>
      <c r="H1652" s="1">
        <v>101170</v>
      </c>
      <c r="I1652" s="1">
        <v>374329</v>
      </c>
      <c r="J1652" s="1">
        <v>3700</v>
      </c>
    </row>
    <row r="1653" spans="1:10" x14ac:dyDescent="0.3">
      <c r="A1653" t="s">
        <v>194</v>
      </c>
      <c r="B1653" t="s">
        <v>12</v>
      </c>
      <c r="C1653" t="s">
        <v>193</v>
      </c>
      <c r="D1653" t="s">
        <v>74</v>
      </c>
      <c r="E1653">
        <v>86</v>
      </c>
      <c r="F1653">
        <v>42</v>
      </c>
      <c r="G1653" s="1">
        <v>104000</v>
      </c>
      <c r="H1653" s="1">
        <v>104000</v>
      </c>
      <c r="I1653" s="1">
        <v>249600</v>
      </c>
      <c r="J1653" s="1">
        <v>2400</v>
      </c>
    </row>
    <row r="1654" spans="1:10" x14ac:dyDescent="0.3">
      <c r="A1654" t="s">
        <v>194</v>
      </c>
      <c r="B1654" t="s">
        <v>9</v>
      </c>
      <c r="C1654" t="s">
        <v>193</v>
      </c>
      <c r="D1654" t="s">
        <v>74</v>
      </c>
      <c r="E1654">
        <v>86</v>
      </c>
      <c r="F1654">
        <v>42</v>
      </c>
      <c r="G1654" s="1">
        <v>114800</v>
      </c>
      <c r="H1654" s="1">
        <v>99450</v>
      </c>
      <c r="I1654" s="1">
        <v>313085</v>
      </c>
      <c r="J1654" s="1">
        <v>3148</v>
      </c>
    </row>
    <row r="1655" spans="1:10" x14ac:dyDescent="0.3">
      <c r="A1655" t="s">
        <v>194</v>
      </c>
      <c r="B1655" t="s">
        <v>8</v>
      </c>
      <c r="C1655" t="s">
        <v>193</v>
      </c>
      <c r="D1655" t="s">
        <v>74</v>
      </c>
      <c r="E1655">
        <v>86</v>
      </c>
      <c r="F1655">
        <v>42</v>
      </c>
      <c r="G1655" s="1">
        <v>117500</v>
      </c>
      <c r="H1655" s="1">
        <v>116700</v>
      </c>
      <c r="I1655" s="1">
        <v>378297</v>
      </c>
      <c r="J1655" s="1">
        <v>3242</v>
      </c>
    </row>
    <row r="1656" spans="1:10" x14ac:dyDescent="0.3">
      <c r="A1656" t="s">
        <v>194</v>
      </c>
      <c r="B1656" t="s">
        <v>7</v>
      </c>
      <c r="C1656" t="s">
        <v>193</v>
      </c>
      <c r="D1656" t="s">
        <v>74</v>
      </c>
      <c r="E1656">
        <v>86</v>
      </c>
      <c r="F1656">
        <v>42</v>
      </c>
      <c r="G1656" s="1">
        <v>117500</v>
      </c>
      <c r="H1656" s="1">
        <v>117500</v>
      </c>
      <c r="I1656" s="1">
        <v>410300</v>
      </c>
      <c r="J1656" s="1">
        <v>3492</v>
      </c>
    </row>
    <row r="1657" spans="1:10" x14ac:dyDescent="0.3">
      <c r="A1657" t="s">
        <v>194</v>
      </c>
      <c r="B1657" t="s">
        <v>6</v>
      </c>
      <c r="C1657" t="s">
        <v>193</v>
      </c>
      <c r="D1657" t="s">
        <v>74</v>
      </c>
      <c r="E1657">
        <v>86</v>
      </c>
      <c r="F1657">
        <v>42</v>
      </c>
      <c r="G1657" s="1">
        <v>114075</v>
      </c>
      <c r="H1657" s="1">
        <v>114075</v>
      </c>
      <c r="I1657" s="1">
        <v>365040</v>
      </c>
      <c r="J1657" s="1">
        <v>3200</v>
      </c>
    </row>
    <row r="1658" spans="1:10" x14ac:dyDescent="0.3">
      <c r="A1658" t="s">
        <v>194</v>
      </c>
      <c r="B1658" t="s">
        <v>5</v>
      </c>
      <c r="C1658" t="s">
        <v>193</v>
      </c>
      <c r="D1658" t="s">
        <v>74</v>
      </c>
      <c r="E1658">
        <v>86</v>
      </c>
      <c r="F1658">
        <v>42</v>
      </c>
      <c r="G1658" s="1">
        <v>125250</v>
      </c>
      <c r="H1658" s="1">
        <v>125250</v>
      </c>
      <c r="I1658" s="1">
        <v>343530</v>
      </c>
      <c r="J1658" s="1">
        <v>2743</v>
      </c>
    </row>
    <row r="1659" spans="1:10" x14ac:dyDescent="0.3">
      <c r="A1659" t="s">
        <v>194</v>
      </c>
      <c r="B1659" t="s">
        <v>4</v>
      </c>
      <c r="C1659" t="s">
        <v>193</v>
      </c>
      <c r="D1659" t="s">
        <v>74</v>
      </c>
      <c r="E1659">
        <v>86</v>
      </c>
      <c r="F1659">
        <v>42</v>
      </c>
      <c r="G1659" s="1">
        <v>135500</v>
      </c>
      <c r="H1659" s="1">
        <v>134600</v>
      </c>
      <c r="I1659" s="1">
        <v>388420</v>
      </c>
      <c r="J1659" s="1">
        <v>2886</v>
      </c>
    </row>
    <row r="1660" spans="1:10" x14ac:dyDescent="0.3">
      <c r="A1660" t="s">
        <v>194</v>
      </c>
      <c r="B1660" t="s">
        <v>3</v>
      </c>
      <c r="C1660" t="s">
        <v>193</v>
      </c>
      <c r="D1660" t="s">
        <v>74</v>
      </c>
      <c r="E1660">
        <v>86</v>
      </c>
      <c r="F1660">
        <v>42</v>
      </c>
      <c r="G1660" s="1">
        <v>158000</v>
      </c>
      <c r="H1660" s="1">
        <v>150210</v>
      </c>
      <c r="I1660" s="1">
        <v>493145</v>
      </c>
      <c r="J1660" s="1">
        <v>3283</v>
      </c>
    </row>
    <row r="1661" spans="1:10" x14ac:dyDescent="0.3">
      <c r="A1661" t="s">
        <v>194</v>
      </c>
      <c r="B1661" t="s">
        <v>18</v>
      </c>
      <c r="C1661" t="s">
        <v>193</v>
      </c>
      <c r="D1661" t="s">
        <v>41</v>
      </c>
      <c r="E1661">
        <v>86</v>
      </c>
      <c r="F1661">
        <v>49</v>
      </c>
      <c r="G1661" s="1">
        <v>4000</v>
      </c>
      <c r="H1661" s="1">
        <v>4000</v>
      </c>
      <c r="I1661" s="1">
        <v>10000</v>
      </c>
      <c r="J1661" s="1">
        <v>2500</v>
      </c>
    </row>
    <row r="1662" spans="1:10" x14ac:dyDescent="0.3">
      <c r="A1662" t="s">
        <v>194</v>
      </c>
      <c r="B1662" t="s">
        <v>17</v>
      </c>
      <c r="C1662" t="s">
        <v>193</v>
      </c>
      <c r="D1662" t="s">
        <v>41</v>
      </c>
      <c r="E1662">
        <v>86</v>
      </c>
      <c r="F1662">
        <v>49</v>
      </c>
      <c r="G1662" s="1">
        <v>3000</v>
      </c>
      <c r="H1662" s="1">
        <v>3000</v>
      </c>
      <c r="I1662" s="1">
        <v>8100</v>
      </c>
      <c r="J1662" s="1">
        <v>2700</v>
      </c>
    </row>
    <row r="1663" spans="1:10" x14ac:dyDescent="0.3">
      <c r="A1663" t="s">
        <v>194</v>
      </c>
      <c r="B1663" t="s">
        <v>14</v>
      </c>
      <c r="C1663" t="s">
        <v>193</v>
      </c>
      <c r="D1663" t="s">
        <v>41</v>
      </c>
      <c r="E1663">
        <v>86</v>
      </c>
      <c r="F1663">
        <v>49</v>
      </c>
      <c r="G1663" s="1">
        <v>3500</v>
      </c>
      <c r="H1663" s="1">
        <v>3500</v>
      </c>
      <c r="I1663" s="1">
        <v>12250</v>
      </c>
      <c r="J1663" s="1">
        <v>3500</v>
      </c>
    </row>
    <row r="1664" spans="1:10" x14ac:dyDescent="0.3">
      <c r="A1664" t="s">
        <v>194</v>
      </c>
      <c r="B1664" t="s">
        <v>12</v>
      </c>
      <c r="C1664" t="s">
        <v>193</v>
      </c>
      <c r="D1664" t="s">
        <v>41</v>
      </c>
      <c r="E1664">
        <v>86</v>
      </c>
      <c r="F1664">
        <v>49</v>
      </c>
      <c r="G1664" s="1">
        <v>4000</v>
      </c>
      <c r="H1664" s="1">
        <v>4000</v>
      </c>
      <c r="I1664" s="1">
        <v>11200</v>
      </c>
      <c r="J1664" s="1">
        <v>2800</v>
      </c>
    </row>
    <row r="1665" spans="1:10" x14ac:dyDescent="0.3">
      <c r="A1665" t="s">
        <v>194</v>
      </c>
      <c r="B1665" t="s">
        <v>9</v>
      </c>
      <c r="C1665" t="s">
        <v>193</v>
      </c>
      <c r="D1665" t="s">
        <v>41</v>
      </c>
      <c r="E1665">
        <v>86</v>
      </c>
      <c r="F1665">
        <v>49</v>
      </c>
      <c r="G1665" s="1">
        <v>4000</v>
      </c>
      <c r="H1665" s="1">
        <v>4000</v>
      </c>
      <c r="I1665" s="1">
        <v>14000</v>
      </c>
      <c r="J1665" s="1">
        <v>3500</v>
      </c>
    </row>
    <row r="1666" spans="1:10" x14ac:dyDescent="0.3">
      <c r="A1666" t="s">
        <v>194</v>
      </c>
      <c r="B1666" t="s">
        <v>8</v>
      </c>
      <c r="C1666" t="s">
        <v>193</v>
      </c>
      <c r="D1666" t="s">
        <v>41</v>
      </c>
      <c r="E1666">
        <v>86</v>
      </c>
      <c r="F1666">
        <v>49</v>
      </c>
      <c r="G1666" s="1">
        <v>4000</v>
      </c>
      <c r="H1666" s="1">
        <v>4000</v>
      </c>
      <c r="I1666" s="1">
        <v>12000</v>
      </c>
      <c r="J1666" s="1">
        <v>3000</v>
      </c>
    </row>
    <row r="1667" spans="1:10" x14ac:dyDescent="0.3">
      <c r="A1667" t="s">
        <v>194</v>
      </c>
      <c r="B1667" t="s">
        <v>7</v>
      </c>
      <c r="C1667" t="s">
        <v>193</v>
      </c>
      <c r="D1667" t="s">
        <v>41</v>
      </c>
      <c r="E1667">
        <v>86</v>
      </c>
      <c r="F1667">
        <v>49</v>
      </c>
      <c r="G1667" s="1">
        <v>4000</v>
      </c>
      <c r="H1667" s="1">
        <v>4000</v>
      </c>
      <c r="I1667" s="1">
        <v>12000</v>
      </c>
      <c r="J1667" s="1">
        <v>3000</v>
      </c>
    </row>
    <row r="1668" spans="1:10" x14ac:dyDescent="0.3">
      <c r="A1668" t="s">
        <v>194</v>
      </c>
      <c r="B1668" t="s">
        <v>6</v>
      </c>
      <c r="C1668" t="s">
        <v>193</v>
      </c>
      <c r="D1668" t="s">
        <v>41</v>
      </c>
      <c r="E1668">
        <v>86</v>
      </c>
      <c r="F1668">
        <v>49</v>
      </c>
      <c r="G1668" s="1">
        <v>4500</v>
      </c>
      <c r="H1668" s="1">
        <v>4500</v>
      </c>
      <c r="I1668" s="1">
        <v>11250</v>
      </c>
      <c r="J1668" s="1">
        <v>2500</v>
      </c>
    </row>
    <row r="1669" spans="1:10" x14ac:dyDescent="0.3">
      <c r="A1669" t="s">
        <v>194</v>
      </c>
      <c r="B1669" t="s">
        <v>5</v>
      </c>
      <c r="C1669" t="s">
        <v>193</v>
      </c>
      <c r="D1669" t="s">
        <v>41</v>
      </c>
      <c r="E1669">
        <v>86</v>
      </c>
      <c r="F1669">
        <v>49</v>
      </c>
      <c r="G1669" s="1">
        <v>5000</v>
      </c>
      <c r="H1669" s="1">
        <v>5000</v>
      </c>
      <c r="I1669" s="1">
        <v>7500</v>
      </c>
      <c r="J1669" s="1">
        <v>1500</v>
      </c>
    </row>
    <row r="1670" spans="1:10" x14ac:dyDescent="0.3">
      <c r="A1670" t="s">
        <v>194</v>
      </c>
      <c r="B1670" t="s">
        <v>4</v>
      </c>
      <c r="C1670" t="s">
        <v>193</v>
      </c>
      <c r="D1670" t="s">
        <v>41</v>
      </c>
      <c r="E1670">
        <v>86</v>
      </c>
      <c r="F1670">
        <v>49</v>
      </c>
      <c r="G1670" s="1">
        <v>5000</v>
      </c>
      <c r="H1670" s="1">
        <v>4990</v>
      </c>
      <c r="I1670" s="1">
        <v>15162</v>
      </c>
      <c r="J1670" s="1">
        <v>3038</v>
      </c>
    </row>
    <row r="1671" spans="1:10" x14ac:dyDescent="0.3">
      <c r="A1671" t="s">
        <v>194</v>
      </c>
      <c r="B1671" t="s">
        <v>3</v>
      </c>
      <c r="C1671" t="s">
        <v>193</v>
      </c>
      <c r="D1671" t="s">
        <v>41</v>
      </c>
      <c r="E1671">
        <v>86</v>
      </c>
      <c r="F1671">
        <v>49</v>
      </c>
      <c r="G1671" s="1">
        <v>5800</v>
      </c>
      <c r="H1671" s="1">
        <v>5660</v>
      </c>
      <c r="I1671" s="1">
        <v>13244</v>
      </c>
      <c r="J1671" s="1">
        <v>2340</v>
      </c>
    </row>
    <row r="1672" spans="1:10" x14ac:dyDescent="0.3">
      <c r="A1672" t="s">
        <v>194</v>
      </c>
      <c r="B1672" t="s">
        <v>18</v>
      </c>
      <c r="C1672" t="s">
        <v>193</v>
      </c>
      <c r="D1672" t="s">
        <v>48</v>
      </c>
      <c r="E1672">
        <v>86</v>
      </c>
      <c r="F1672">
        <v>63</v>
      </c>
      <c r="G1672" s="1">
        <v>5000</v>
      </c>
      <c r="H1672" s="1">
        <v>5000</v>
      </c>
      <c r="I1672" s="1">
        <v>10000</v>
      </c>
      <c r="J1672" s="1">
        <v>2000</v>
      </c>
    </row>
    <row r="1673" spans="1:10" x14ac:dyDescent="0.3">
      <c r="A1673" t="s">
        <v>194</v>
      </c>
      <c r="B1673" t="s">
        <v>17</v>
      </c>
      <c r="C1673" t="s">
        <v>193</v>
      </c>
      <c r="D1673" t="s">
        <v>48</v>
      </c>
      <c r="E1673">
        <v>86</v>
      </c>
      <c r="F1673">
        <v>63</v>
      </c>
      <c r="G1673" s="1">
        <v>5000</v>
      </c>
      <c r="H1673" s="1">
        <v>5000</v>
      </c>
      <c r="I1673" s="1">
        <v>10500</v>
      </c>
      <c r="J1673" s="1">
        <v>2100</v>
      </c>
    </row>
    <row r="1674" spans="1:10" x14ac:dyDescent="0.3">
      <c r="A1674" t="s">
        <v>194</v>
      </c>
      <c r="B1674" t="s">
        <v>14</v>
      </c>
      <c r="C1674" t="s">
        <v>193</v>
      </c>
      <c r="D1674" t="s">
        <v>48</v>
      </c>
      <c r="E1674">
        <v>86</v>
      </c>
      <c r="F1674">
        <v>63</v>
      </c>
      <c r="G1674" s="1">
        <v>6000</v>
      </c>
      <c r="H1674" s="1">
        <v>6000</v>
      </c>
      <c r="I1674" s="1">
        <v>16800</v>
      </c>
      <c r="J1674" s="1">
        <v>2800</v>
      </c>
    </row>
    <row r="1675" spans="1:10" x14ac:dyDescent="0.3">
      <c r="A1675" t="s">
        <v>194</v>
      </c>
      <c r="B1675" t="s">
        <v>12</v>
      </c>
      <c r="C1675" t="s">
        <v>193</v>
      </c>
      <c r="D1675" t="s">
        <v>48</v>
      </c>
      <c r="E1675">
        <v>86</v>
      </c>
      <c r="F1675">
        <v>63</v>
      </c>
      <c r="G1675" s="1">
        <v>6000</v>
      </c>
      <c r="H1675" s="1">
        <v>6000</v>
      </c>
      <c r="I1675" s="1">
        <v>15000</v>
      </c>
      <c r="J1675" s="1">
        <v>2500</v>
      </c>
    </row>
    <row r="1676" spans="1:10" x14ac:dyDescent="0.3">
      <c r="A1676" t="s">
        <v>194</v>
      </c>
      <c r="B1676" t="s">
        <v>9</v>
      </c>
      <c r="C1676" t="s">
        <v>193</v>
      </c>
      <c r="D1676" t="s">
        <v>48</v>
      </c>
      <c r="E1676">
        <v>86</v>
      </c>
      <c r="F1676">
        <v>63</v>
      </c>
      <c r="G1676" s="1">
        <v>5000</v>
      </c>
      <c r="H1676" s="1">
        <v>5000</v>
      </c>
      <c r="I1676" s="1">
        <v>17500</v>
      </c>
      <c r="J1676" s="1">
        <v>3500</v>
      </c>
    </row>
    <row r="1677" spans="1:10" x14ac:dyDescent="0.3">
      <c r="A1677" t="s">
        <v>194</v>
      </c>
      <c r="B1677" t="s">
        <v>8</v>
      </c>
      <c r="C1677" t="s">
        <v>193</v>
      </c>
      <c r="D1677" t="s">
        <v>48</v>
      </c>
      <c r="E1677">
        <v>86</v>
      </c>
      <c r="F1677">
        <v>63</v>
      </c>
      <c r="G1677" s="1">
        <v>5000</v>
      </c>
      <c r="H1677" s="1">
        <v>5000</v>
      </c>
      <c r="I1677" s="1">
        <v>15000</v>
      </c>
      <c r="J1677" s="1">
        <v>3000</v>
      </c>
    </row>
    <row r="1678" spans="1:10" x14ac:dyDescent="0.3">
      <c r="A1678" t="s">
        <v>194</v>
      </c>
      <c r="B1678" t="s">
        <v>7</v>
      </c>
      <c r="C1678" t="s">
        <v>193</v>
      </c>
      <c r="D1678" t="s">
        <v>48</v>
      </c>
      <c r="E1678">
        <v>86</v>
      </c>
      <c r="F1678">
        <v>63</v>
      </c>
      <c r="G1678" s="1">
        <v>5500</v>
      </c>
      <c r="H1678" s="1">
        <v>5500</v>
      </c>
      <c r="I1678" s="1">
        <v>16500</v>
      </c>
      <c r="J1678" s="1">
        <v>3000</v>
      </c>
    </row>
    <row r="1679" spans="1:10" x14ac:dyDescent="0.3">
      <c r="A1679" t="s">
        <v>194</v>
      </c>
      <c r="B1679" t="s">
        <v>6</v>
      </c>
      <c r="C1679" t="s">
        <v>193</v>
      </c>
      <c r="D1679" t="s">
        <v>48</v>
      </c>
      <c r="E1679">
        <v>86</v>
      </c>
      <c r="F1679">
        <v>63</v>
      </c>
      <c r="G1679" s="1">
        <v>6500</v>
      </c>
      <c r="H1679" s="1">
        <v>6500</v>
      </c>
      <c r="I1679" s="1">
        <v>16250</v>
      </c>
      <c r="J1679" s="1">
        <v>2500</v>
      </c>
    </row>
    <row r="1680" spans="1:10" x14ac:dyDescent="0.3">
      <c r="A1680" t="s">
        <v>194</v>
      </c>
      <c r="B1680" t="s">
        <v>5</v>
      </c>
      <c r="C1680" t="s">
        <v>193</v>
      </c>
      <c r="D1680" t="s">
        <v>48</v>
      </c>
      <c r="E1680">
        <v>86</v>
      </c>
      <c r="F1680">
        <v>63</v>
      </c>
      <c r="G1680" s="1">
        <v>7000</v>
      </c>
      <c r="H1680" s="1">
        <v>7000</v>
      </c>
      <c r="I1680" s="1">
        <v>10500</v>
      </c>
      <c r="J1680" s="1">
        <v>1500</v>
      </c>
    </row>
    <row r="1681" spans="1:10" x14ac:dyDescent="0.3">
      <c r="A1681" t="s">
        <v>194</v>
      </c>
      <c r="B1681" t="s">
        <v>4</v>
      </c>
      <c r="C1681" t="s">
        <v>193</v>
      </c>
      <c r="D1681" t="s">
        <v>48</v>
      </c>
      <c r="E1681">
        <v>86</v>
      </c>
      <c r="F1681">
        <v>63</v>
      </c>
      <c r="G1681" s="1">
        <v>7000</v>
      </c>
      <c r="H1681" s="1">
        <v>6990</v>
      </c>
      <c r="I1681" s="1">
        <v>21429</v>
      </c>
      <c r="J1681" s="1">
        <v>3066</v>
      </c>
    </row>
    <row r="1682" spans="1:10" x14ac:dyDescent="0.3">
      <c r="A1682" t="s">
        <v>194</v>
      </c>
      <c r="B1682" t="s">
        <v>3</v>
      </c>
      <c r="C1682" t="s">
        <v>193</v>
      </c>
      <c r="D1682" t="s">
        <v>48</v>
      </c>
      <c r="E1682">
        <v>86</v>
      </c>
      <c r="F1682">
        <v>63</v>
      </c>
      <c r="G1682" s="1">
        <v>8100</v>
      </c>
      <c r="H1682" s="1">
        <v>7970</v>
      </c>
      <c r="I1682" s="1">
        <v>18561</v>
      </c>
      <c r="J1682" s="1">
        <v>2329</v>
      </c>
    </row>
    <row r="1683" spans="1:10" x14ac:dyDescent="0.3">
      <c r="A1683" t="s">
        <v>194</v>
      </c>
      <c r="B1683" t="s">
        <v>18</v>
      </c>
      <c r="C1683" t="s">
        <v>193</v>
      </c>
      <c r="D1683" t="s">
        <v>51</v>
      </c>
      <c r="E1683">
        <v>86</v>
      </c>
      <c r="F1683">
        <v>56</v>
      </c>
      <c r="G1683" s="1">
        <v>8500</v>
      </c>
      <c r="H1683" s="1">
        <v>8000</v>
      </c>
      <c r="I1683" s="1">
        <v>19200</v>
      </c>
      <c r="J1683" s="1">
        <v>2400</v>
      </c>
    </row>
    <row r="1684" spans="1:10" x14ac:dyDescent="0.3">
      <c r="A1684" t="s">
        <v>194</v>
      </c>
      <c r="B1684" t="s">
        <v>17</v>
      </c>
      <c r="C1684" t="s">
        <v>193</v>
      </c>
      <c r="D1684" t="s">
        <v>51</v>
      </c>
      <c r="E1684">
        <v>86</v>
      </c>
      <c r="F1684">
        <v>56</v>
      </c>
      <c r="G1684" s="1">
        <v>8500</v>
      </c>
      <c r="H1684" s="1">
        <v>8500</v>
      </c>
      <c r="I1684" s="1">
        <v>18700</v>
      </c>
      <c r="J1684" s="1">
        <v>2200</v>
      </c>
    </row>
    <row r="1685" spans="1:10" x14ac:dyDescent="0.3">
      <c r="A1685" t="s">
        <v>194</v>
      </c>
      <c r="B1685" t="s">
        <v>14</v>
      </c>
      <c r="C1685" t="s">
        <v>193</v>
      </c>
      <c r="D1685" t="s">
        <v>51</v>
      </c>
      <c r="E1685">
        <v>86</v>
      </c>
      <c r="F1685">
        <v>56</v>
      </c>
      <c r="G1685" s="1">
        <v>8500</v>
      </c>
      <c r="H1685" s="1">
        <v>8370</v>
      </c>
      <c r="I1685" s="1">
        <v>25947</v>
      </c>
      <c r="J1685" s="1">
        <v>3100</v>
      </c>
    </row>
    <row r="1686" spans="1:10" x14ac:dyDescent="0.3">
      <c r="A1686" t="s">
        <v>194</v>
      </c>
      <c r="B1686" t="s">
        <v>12</v>
      </c>
      <c r="C1686" t="s">
        <v>193</v>
      </c>
      <c r="D1686" t="s">
        <v>51</v>
      </c>
      <c r="E1686">
        <v>86</v>
      </c>
      <c r="F1686">
        <v>56</v>
      </c>
      <c r="G1686" s="1">
        <v>8500</v>
      </c>
      <c r="H1686" s="1">
        <v>8370</v>
      </c>
      <c r="I1686" s="1">
        <v>22599</v>
      </c>
      <c r="J1686" s="1">
        <v>2700</v>
      </c>
    </row>
    <row r="1687" spans="1:10" x14ac:dyDescent="0.3">
      <c r="A1687" t="s">
        <v>194</v>
      </c>
      <c r="B1687" t="s">
        <v>9</v>
      </c>
      <c r="C1687" t="s">
        <v>193</v>
      </c>
      <c r="D1687" t="s">
        <v>51</v>
      </c>
      <c r="E1687">
        <v>86</v>
      </c>
      <c r="F1687">
        <v>56</v>
      </c>
      <c r="G1687" s="1">
        <v>8415</v>
      </c>
      <c r="H1687" s="1">
        <v>8205</v>
      </c>
      <c r="I1687" s="1">
        <v>24075</v>
      </c>
      <c r="J1687" s="1">
        <v>2934</v>
      </c>
    </row>
    <row r="1688" spans="1:10" x14ac:dyDescent="0.3">
      <c r="A1688" t="s">
        <v>194</v>
      </c>
      <c r="B1688" t="s">
        <v>8</v>
      </c>
      <c r="C1688" t="s">
        <v>193</v>
      </c>
      <c r="D1688" t="s">
        <v>51</v>
      </c>
      <c r="E1688">
        <v>86</v>
      </c>
      <c r="F1688">
        <v>56</v>
      </c>
      <c r="G1688" s="1">
        <v>8020</v>
      </c>
      <c r="H1688" s="1">
        <v>7810</v>
      </c>
      <c r="I1688" s="1">
        <v>24764</v>
      </c>
      <c r="J1688" s="1">
        <v>3171</v>
      </c>
    </row>
    <row r="1689" spans="1:10" x14ac:dyDescent="0.3">
      <c r="A1689" t="s">
        <v>194</v>
      </c>
      <c r="B1689" t="s">
        <v>7</v>
      </c>
      <c r="C1689" t="s">
        <v>193</v>
      </c>
      <c r="D1689" t="s">
        <v>51</v>
      </c>
      <c r="E1689">
        <v>86</v>
      </c>
      <c r="F1689">
        <v>56</v>
      </c>
      <c r="G1689" s="1">
        <v>10200</v>
      </c>
      <c r="H1689" s="1">
        <v>10200</v>
      </c>
      <c r="I1689" s="1">
        <v>30600</v>
      </c>
      <c r="J1689" s="1">
        <v>3000</v>
      </c>
    </row>
    <row r="1690" spans="1:10" x14ac:dyDescent="0.3">
      <c r="A1690" t="s">
        <v>194</v>
      </c>
      <c r="B1690" t="s">
        <v>6</v>
      </c>
      <c r="C1690" t="s">
        <v>193</v>
      </c>
      <c r="D1690" t="s">
        <v>51</v>
      </c>
      <c r="E1690">
        <v>86</v>
      </c>
      <c r="F1690">
        <v>56</v>
      </c>
      <c r="G1690" s="1">
        <v>10200</v>
      </c>
      <c r="H1690" s="1">
        <v>10200</v>
      </c>
      <c r="I1690" s="1">
        <v>30530</v>
      </c>
      <c r="J1690" s="1">
        <v>2993</v>
      </c>
    </row>
    <row r="1691" spans="1:10" x14ac:dyDescent="0.3">
      <c r="A1691" t="s">
        <v>194</v>
      </c>
      <c r="B1691" t="s">
        <v>5</v>
      </c>
      <c r="C1691" t="s">
        <v>193</v>
      </c>
      <c r="D1691" t="s">
        <v>51</v>
      </c>
      <c r="E1691">
        <v>86</v>
      </c>
      <c r="F1691">
        <v>56</v>
      </c>
      <c r="G1691" s="1">
        <v>20200</v>
      </c>
      <c r="H1691" s="1">
        <v>20200</v>
      </c>
      <c r="I1691" s="1">
        <v>51795</v>
      </c>
      <c r="J1691" s="1">
        <v>2564</v>
      </c>
    </row>
    <row r="1692" spans="1:10" x14ac:dyDescent="0.3">
      <c r="A1692" t="s">
        <v>194</v>
      </c>
      <c r="B1692" t="s">
        <v>4</v>
      </c>
      <c r="C1692" t="s">
        <v>193</v>
      </c>
      <c r="D1692" t="s">
        <v>51</v>
      </c>
      <c r="E1692">
        <v>86</v>
      </c>
      <c r="F1692">
        <v>56</v>
      </c>
      <c r="G1692" s="1">
        <v>22400</v>
      </c>
      <c r="H1692" s="1">
        <v>22220</v>
      </c>
      <c r="I1692" s="1">
        <v>50798</v>
      </c>
      <c r="J1692" s="1">
        <v>2286</v>
      </c>
    </row>
    <row r="1693" spans="1:10" x14ac:dyDescent="0.3">
      <c r="A1693" t="s">
        <v>194</v>
      </c>
      <c r="B1693" t="s">
        <v>3</v>
      </c>
      <c r="C1693" t="s">
        <v>193</v>
      </c>
      <c r="D1693" t="s">
        <v>51</v>
      </c>
      <c r="E1693">
        <v>86</v>
      </c>
      <c r="F1693">
        <v>56</v>
      </c>
      <c r="G1693" s="1">
        <v>26650</v>
      </c>
      <c r="H1693" s="1">
        <v>20140</v>
      </c>
      <c r="I1693" s="1">
        <v>22052</v>
      </c>
      <c r="J1693" s="1">
        <v>1095</v>
      </c>
    </row>
    <row r="1694" spans="1:10" x14ac:dyDescent="0.3">
      <c r="A1694" t="s">
        <v>194</v>
      </c>
      <c r="B1694" t="s">
        <v>18</v>
      </c>
      <c r="C1694" t="s">
        <v>193</v>
      </c>
      <c r="D1694" t="s">
        <v>38</v>
      </c>
      <c r="E1694">
        <v>86</v>
      </c>
      <c r="F1694">
        <v>70</v>
      </c>
      <c r="G1694" s="1">
        <v>500</v>
      </c>
      <c r="H1694" s="1">
        <v>500</v>
      </c>
      <c r="I1694" s="1">
        <v>900</v>
      </c>
      <c r="J1694" s="1">
        <v>1800</v>
      </c>
    </row>
    <row r="1695" spans="1:10" x14ac:dyDescent="0.3">
      <c r="A1695" t="s">
        <v>194</v>
      </c>
      <c r="B1695" t="s">
        <v>17</v>
      </c>
      <c r="C1695" t="s">
        <v>193</v>
      </c>
      <c r="D1695" t="s">
        <v>38</v>
      </c>
      <c r="E1695">
        <v>86</v>
      </c>
      <c r="F1695">
        <v>70</v>
      </c>
      <c r="G1695" s="1">
        <v>500</v>
      </c>
      <c r="H1695" s="1">
        <v>500</v>
      </c>
      <c r="I1695" s="1">
        <v>850</v>
      </c>
      <c r="J1695" s="1">
        <v>1700</v>
      </c>
    </row>
    <row r="1696" spans="1:10" x14ac:dyDescent="0.3">
      <c r="A1696" t="s">
        <v>194</v>
      </c>
      <c r="B1696" t="s">
        <v>14</v>
      </c>
      <c r="C1696" t="s">
        <v>193</v>
      </c>
      <c r="D1696" t="s">
        <v>38</v>
      </c>
      <c r="E1696">
        <v>86</v>
      </c>
      <c r="F1696">
        <v>70</v>
      </c>
      <c r="G1696" s="1">
        <v>1000</v>
      </c>
      <c r="H1696" s="1">
        <v>1000</v>
      </c>
      <c r="I1696" s="1">
        <v>2800</v>
      </c>
      <c r="J1696" s="1">
        <v>2800</v>
      </c>
    </row>
    <row r="1697" spans="1:10" x14ac:dyDescent="0.3">
      <c r="A1697" t="s">
        <v>194</v>
      </c>
      <c r="B1697" t="s">
        <v>12</v>
      </c>
      <c r="C1697" t="s">
        <v>193</v>
      </c>
      <c r="D1697" t="s">
        <v>38</v>
      </c>
      <c r="E1697">
        <v>86</v>
      </c>
      <c r="F1697">
        <v>70</v>
      </c>
      <c r="G1697" s="1">
        <v>1000</v>
      </c>
      <c r="H1697" s="1">
        <v>1000</v>
      </c>
      <c r="I1697" s="1">
        <v>2000</v>
      </c>
      <c r="J1697" s="1">
        <v>2000</v>
      </c>
    </row>
    <row r="1698" spans="1:10" x14ac:dyDescent="0.3">
      <c r="A1698" t="s">
        <v>194</v>
      </c>
      <c r="B1698" t="s">
        <v>9</v>
      </c>
      <c r="C1698" t="s">
        <v>193</v>
      </c>
      <c r="D1698" t="s">
        <v>38</v>
      </c>
      <c r="E1698">
        <v>86</v>
      </c>
      <c r="F1698">
        <v>70</v>
      </c>
      <c r="G1698" s="1">
        <v>1500</v>
      </c>
      <c r="H1698" s="1">
        <v>1500</v>
      </c>
      <c r="I1698" s="1">
        <v>4350</v>
      </c>
      <c r="J1698" s="1">
        <v>2900</v>
      </c>
    </row>
    <row r="1699" spans="1:10" x14ac:dyDescent="0.3">
      <c r="A1699" t="s">
        <v>194</v>
      </c>
      <c r="B1699" t="s">
        <v>8</v>
      </c>
      <c r="C1699" t="s">
        <v>193</v>
      </c>
      <c r="D1699" t="s">
        <v>38</v>
      </c>
      <c r="E1699">
        <v>86</v>
      </c>
      <c r="F1699">
        <v>70</v>
      </c>
      <c r="G1699" s="1">
        <v>1500</v>
      </c>
      <c r="H1699" s="1">
        <v>1500</v>
      </c>
      <c r="I1699" s="1">
        <v>4500</v>
      </c>
      <c r="J1699" s="1">
        <v>3000</v>
      </c>
    </row>
    <row r="1700" spans="1:10" x14ac:dyDescent="0.3">
      <c r="A1700" t="s">
        <v>194</v>
      </c>
      <c r="B1700" t="s">
        <v>7</v>
      </c>
      <c r="C1700" t="s">
        <v>193</v>
      </c>
      <c r="D1700" t="s">
        <v>38</v>
      </c>
      <c r="E1700">
        <v>86</v>
      </c>
      <c r="F1700">
        <v>70</v>
      </c>
      <c r="G1700" s="1">
        <v>1500</v>
      </c>
      <c r="H1700" s="1">
        <v>1500</v>
      </c>
      <c r="I1700" s="1">
        <v>4500</v>
      </c>
      <c r="J1700" s="1">
        <v>3000</v>
      </c>
    </row>
    <row r="1701" spans="1:10" x14ac:dyDescent="0.3">
      <c r="A1701" t="s">
        <v>194</v>
      </c>
      <c r="B1701" t="s">
        <v>6</v>
      </c>
      <c r="C1701" t="s">
        <v>193</v>
      </c>
      <c r="D1701" t="s">
        <v>38</v>
      </c>
      <c r="E1701">
        <v>86</v>
      </c>
      <c r="F1701">
        <v>70</v>
      </c>
      <c r="G1701" s="1">
        <v>3500</v>
      </c>
      <c r="H1701" s="1">
        <v>3500</v>
      </c>
      <c r="I1701" s="1">
        <v>8750</v>
      </c>
      <c r="J1701" s="1">
        <v>2500</v>
      </c>
    </row>
    <row r="1702" spans="1:10" x14ac:dyDescent="0.3">
      <c r="A1702" t="s">
        <v>194</v>
      </c>
      <c r="B1702" t="s">
        <v>5</v>
      </c>
      <c r="C1702" t="s">
        <v>193</v>
      </c>
      <c r="D1702" t="s">
        <v>38</v>
      </c>
      <c r="E1702">
        <v>86</v>
      </c>
      <c r="F1702">
        <v>70</v>
      </c>
      <c r="G1702" s="1">
        <v>4500</v>
      </c>
      <c r="H1702" s="1">
        <v>4500</v>
      </c>
      <c r="I1702" s="1">
        <v>6750</v>
      </c>
      <c r="J1702" s="1">
        <v>1500</v>
      </c>
    </row>
    <row r="1703" spans="1:10" x14ac:dyDescent="0.3">
      <c r="A1703" t="s">
        <v>194</v>
      </c>
      <c r="B1703" t="s">
        <v>4</v>
      </c>
      <c r="C1703" t="s">
        <v>193</v>
      </c>
      <c r="D1703" t="s">
        <v>38</v>
      </c>
      <c r="E1703">
        <v>86</v>
      </c>
      <c r="F1703">
        <v>70</v>
      </c>
      <c r="G1703" s="1">
        <v>4500</v>
      </c>
      <c r="H1703" s="1">
        <v>4470</v>
      </c>
      <c r="I1703" s="1">
        <v>13608</v>
      </c>
      <c r="J1703" s="1">
        <v>3044</v>
      </c>
    </row>
    <row r="1704" spans="1:10" x14ac:dyDescent="0.3">
      <c r="A1704" t="s">
        <v>194</v>
      </c>
      <c r="B1704" t="s">
        <v>3</v>
      </c>
      <c r="C1704" t="s">
        <v>193</v>
      </c>
      <c r="D1704" t="s">
        <v>38</v>
      </c>
      <c r="E1704">
        <v>86</v>
      </c>
      <c r="F1704">
        <v>70</v>
      </c>
      <c r="G1704" s="1">
        <v>4950</v>
      </c>
      <c r="H1704" s="1">
        <v>4800</v>
      </c>
      <c r="I1704" s="1">
        <v>11040</v>
      </c>
      <c r="J1704" s="1">
        <v>2300</v>
      </c>
    </row>
    <row r="1705" spans="1:10" x14ac:dyDescent="0.3">
      <c r="A1705" t="s">
        <v>194</v>
      </c>
      <c r="B1705" t="s">
        <v>18</v>
      </c>
      <c r="C1705" t="s">
        <v>193</v>
      </c>
      <c r="D1705" t="s">
        <v>75</v>
      </c>
      <c r="E1705">
        <v>86</v>
      </c>
      <c r="F1705">
        <v>77</v>
      </c>
      <c r="G1705" s="1">
        <v>130000</v>
      </c>
      <c r="H1705" s="1">
        <v>93000</v>
      </c>
      <c r="I1705" s="1">
        <v>213900</v>
      </c>
      <c r="J1705" s="1">
        <v>2300</v>
      </c>
    </row>
    <row r="1706" spans="1:10" x14ac:dyDescent="0.3">
      <c r="A1706" t="s">
        <v>194</v>
      </c>
      <c r="B1706" t="s">
        <v>17</v>
      </c>
      <c r="C1706" t="s">
        <v>193</v>
      </c>
      <c r="D1706" t="s">
        <v>75</v>
      </c>
      <c r="E1706">
        <v>86</v>
      </c>
      <c r="F1706">
        <v>77</v>
      </c>
      <c r="G1706" s="1">
        <v>140000</v>
      </c>
      <c r="H1706" s="1">
        <v>126000</v>
      </c>
      <c r="I1706" s="1">
        <v>340200</v>
      </c>
      <c r="J1706" s="1">
        <v>2700</v>
      </c>
    </row>
    <row r="1707" spans="1:10" x14ac:dyDescent="0.3">
      <c r="A1707" t="s">
        <v>194</v>
      </c>
      <c r="B1707" t="s">
        <v>14</v>
      </c>
      <c r="C1707" t="s">
        <v>193</v>
      </c>
      <c r="D1707" t="s">
        <v>75</v>
      </c>
      <c r="E1707">
        <v>86</v>
      </c>
      <c r="F1707">
        <v>77</v>
      </c>
      <c r="G1707" s="1">
        <v>193300</v>
      </c>
      <c r="H1707" s="1">
        <v>190040</v>
      </c>
      <c r="I1707" s="1">
        <v>741156</v>
      </c>
      <c r="J1707" s="1">
        <v>3900</v>
      </c>
    </row>
    <row r="1708" spans="1:10" x14ac:dyDescent="0.3">
      <c r="A1708" t="s">
        <v>194</v>
      </c>
      <c r="B1708" t="s">
        <v>12</v>
      </c>
      <c r="C1708" t="s">
        <v>193</v>
      </c>
      <c r="D1708" t="s">
        <v>75</v>
      </c>
      <c r="E1708">
        <v>86</v>
      </c>
      <c r="F1708">
        <v>77</v>
      </c>
      <c r="G1708" s="1">
        <v>195000</v>
      </c>
      <c r="H1708" s="1">
        <v>195000</v>
      </c>
      <c r="I1708" s="1">
        <v>526500</v>
      </c>
      <c r="J1708" s="1">
        <v>2700</v>
      </c>
    </row>
    <row r="1709" spans="1:10" x14ac:dyDescent="0.3">
      <c r="A1709" t="s">
        <v>194</v>
      </c>
      <c r="B1709" t="s">
        <v>9</v>
      </c>
      <c r="C1709" t="s">
        <v>193</v>
      </c>
      <c r="D1709" t="s">
        <v>75</v>
      </c>
      <c r="E1709">
        <v>86</v>
      </c>
      <c r="F1709">
        <v>77</v>
      </c>
      <c r="G1709" s="1">
        <v>195000</v>
      </c>
      <c r="H1709" s="1">
        <v>174910</v>
      </c>
      <c r="I1709" s="1">
        <v>560169</v>
      </c>
      <c r="J1709" s="1">
        <v>3203</v>
      </c>
    </row>
    <row r="1710" spans="1:10" x14ac:dyDescent="0.3">
      <c r="A1710" t="s">
        <v>194</v>
      </c>
      <c r="B1710" t="s">
        <v>8</v>
      </c>
      <c r="C1710" t="s">
        <v>193</v>
      </c>
      <c r="D1710" t="s">
        <v>75</v>
      </c>
      <c r="E1710">
        <v>86</v>
      </c>
      <c r="F1710">
        <v>77</v>
      </c>
      <c r="G1710" s="1">
        <v>197510</v>
      </c>
      <c r="H1710" s="1">
        <v>196680</v>
      </c>
      <c r="I1710" s="1">
        <v>636252</v>
      </c>
      <c r="J1710" s="1">
        <v>3235</v>
      </c>
    </row>
    <row r="1711" spans="1:10" x14ac:dyDescent="0.3">
      <c r="A1711" t="s">
        <v>194</v>
      </c>
      <c r="B1711" t="s">
        <v>7</v>
      </c>
      <c r="C1711" t="s">
        <v>193</v>
      </c>
      <c r="D1711" t="s">
        <v>75</v>
      </c>
      <c r="E1711">
        <v>86</v>
      </c>
      <c r="F1711">
        <v>77</v>
      </c>
      <c r="G1711" s="1">
        <v>197300</v>
      </c>
      <c r="H1711" s="1">
        <v>197300</v>
      </c>
      <c r="I1711" s="1">
        <v>712400</v>
      </c>
      <c r="J1711" s="1">
        <v>3611</v>
      </c>
    </row>
    <row r="1712" spans="1:10" x14ac:dyDescent="0.3">
      <c r="A1712" t="s">
        <v>194</v>
      </c>
      <c r="B1712" t="s">
        <v>6</v>
      </c>
      <c r="C1712" t="s">
        <v>193</v>
      </c>
      <c r="D1712" t="s">
        <v>75</v>
      </c>
      <c r="E1712">
        <v>86</v>
      </c>
      <c r="F1712">
        <v>77</v>
      </c>
      <c r="G1712" s="1">
        <v>197300</v>
      </c>
      <c r="H1712" s="1">
        <v>197300</v>
      </c>
      <c r="I1712" s="1">
        <v>631360</v>
      </c>
      <c r="J1712" s="1">
        <v>3200</v>
      </c>
    </row>
    <row r="1713" spans="1:10" x14ac:dyDescent="0.3">
      <c r="A1713" t="s">
        <v>194</v>
      </c>
      <c r="B1713" t="s">
        <v>5</v>
      </c>
      <c r="C1713" t="s">
        <v>193</v>
      </c>
      <c r="D1713" t="s">
        <v>75</v>
      </c>
      <c r="E1713">
        <v>86</v>
      </c>
      <c r="F1713">
        <v>77</v>
      </c>
      <c r="G1713" s="1">
        <v>200800</v>
      </c>
      <c r="H1713" s="1">
        <v>200800</v>
      </c>
      <c r="I1713" s="1">
        <v>522368</v>
      </c>
      <c r="J1713" s="1">
        <v>2601</v>
      </c>
    </row>
    <row r="1714" spans="1:10" x14ac:dyDescent="0.3">
      <c r="A1714" t="s">
        <v>194</v>
      </c>
      <c r="B1714" t="s">
        <v>4</v>
      </c>
      <c r="C1714" t="s">
        <v>193</v>
      </c>
      <c r="D1714" t="s">
        <v>75</v>
      </c>
      <c r="E1714">
        <v>86</v>
      </c>
      <c r="F1714">
        <v>77</v>
      </c>
      <c r="G1714" s="1">
        <v>215400</v>
      </c>
      <c r="H1714" s="1">
        <v>214450</v>
      </c>
      <c r="I1714" s="1">
        <v>613265</v>
      </c>
      <c r="J1714" s="1">
        <v>2860</v>
      </c>
    </row>
    <row r="1715" spans="1:10" x14ac:dyDescent="0.3">
      <c r="A1715" t="s">
        <v>194</v>
      </c>
      <c r="B1715" t="s">
        <v>3</v>
      </c>
      <c r="C1715" t="s">
        <v>193</v>
      </c>
      <c r="D1715" t="s">
        <v>75</v>
      </c>
      <c r="E1715">
        <v>86</v>
      </c>
      <c r="F1715">
        <v>77</v>
      </c>
      <c r="G1715" s="1">
        <v>261150</v>
      </c>
      <c r="H1715" s="1">
        <v>251130</v>
      </c>
      <c r="I1715" s="1">
        <v>822003</v>
      </c>
      <c r="J1715" s="1">
        <v>3273</v>
      </c>
    </row>
    <row r="1716" spans="1:10" x14ac:dyDescent="0.3">
      <c r="A1716" t="s">
        <v>194</v>
      </c>
      <c r="B1716" t="s">
        <v>18</v>
      </c>
      <c r="C1716" t="s">
        <v>193</v>
      </c>
      <c r="D1716" t="s">
        <v>54</v>
      </c>
      <c r="E1716">
        <v>86</v>
      </c>
      <c r="F1716">
        <v>84</v>
      </c>
      <c r="G1716" s="1">
        <v>5000</v>
      </c>
      <c r="H1716" s="1">
        <v>5000</v>
      </c>
      <c r="I1716" s="1">
        <v>12500</v>
      </c>
      <c r="J1716" s="1">
        <v>2500</v>
      </c>
    </row>
    <row r="1717" spans="1:10" x14ac:dyDescent="0.3">
      <c r="A1717" t="s">
        <v>194</v>
      </c>
      <c r="B1717" t="s">
        <v>17</v>
      </c>
      <c r="C1717" t="s">
        <v>193</v>
      </c>
      <c r="D1717" t="s">
        <v>54</v>
      </c>
      <c r="E1717">
        <v>86</v>
      </c>
      <c r="F1717">
        <v>84</v>
      </c>
      <c r="G1717" s="1">
        <v>4000</v>
      </c>
      <c r="H1717" s="1">
        <v>4000</v>
      </c>
      <c r="I1717" s="1">
        <v>9600</v>
      </c>
      <c r="J1717" s="1">
        <v>2400</v>
      </c>
    </row>
    <row r="1718" spans="1:10" x14ac:dyDescent="0.3">
      <c r="A1718" t="s">
        <v>194</v>
      </c>
      <c r="B1718" t="s">
        <v>14</v>
      </c>
      <c r="C1718" t="s">
        <v>193</v>
      </c>
      <c r="D1718" t="s">
        <v>54</v>
      </c>
      <c r="E1718">
        <v>86</v>
      </c>
      <c r="F1718">
        <v>84</v>
      </c>
      <c r="G1718" s="1">
        <v>5000</v>
      </c>
      <c r="H1718" s="1">
        <v>5000</v>
      </c>
      <c r="I1718" s="1">
        <v>15000</v>
      </c>
      <c r="J1718" s="1">
        <v>3000</v>
      </c>
    </row>
    <row r="1719" spans="1:10" x14ac:dyDescent="0.3">
      <c r="A1719" t="s">
        <v>194</v>
      </c>
      <c r="B1719" t="s">
        <v>12</v>
      </c>
      <c r="C1719" t="s">
        <v>193</v>
      </c>
      <c r="D1719" t="s">
        <v>54</v>
      </c>
      <c r="E1719">
        <v>86</v>
      </c>
      <c r="F1719">
        <v>84</v>
      </c>
      <c r="G1719" s="1">
        <v>5000</v>
      </c>
      <c r="H1719" s="1">
        <v>5000</v>
      </c>
      <c r="I1719" s="1">
        <v>12500</v>
      </c>
      <c r="J1719" s="1">
        <v>2500</v>
      </c>
    </row>
    <row r="1720" spans="1:10" x14ac:dyDescent="0.3">
      <c r="A1720" t="s">
        <v>194</v>
      </c>
      <c r="B1720" t="s">
        <v>9</v>
      </c>
      <c r="C1720" t="s">
        <v>193</v>
      </c>
      <c r="D1720" t="s">
        <v>54</v>
      </c>
      <c r="E1720">
        <v>86</v>
      </c>
      <c r="F1720">
        <v>84</v>
      </c>
      <c r="G1720" s="1">
        <v>5000</v>
      </c>
      <c r="H1720" s="1">
        <v>5000</v>
      </c>
      <c r="I1720" s="1">
        <v>17500</v>
      </c>
      <c r="J1720" s="1">
        <v>3500</v>
      </c>
    </row>
    <row r="1721" spans="1:10" x14ac:dyDescent="0.3">
      <c r="A1721" t="s">
        <v>194</v>
      </c>
      <c r="B1721" t="s">
        <v>8</v>
      </c>
      <c r="C1721" t="s">
        <v>193</v>
      </c>
      <c r="D1721" t="s">
        <v>54</v>
      </c>
      <c r="E1721">
        <v>86</v>
      </c>
      <c r="F1721">
        <v>84</v>
      </c>
      <c r="G1721" s="1">
        <v>5000</v>
      </c>
      <c r="H1721" s="1">
        <v>5000</v>
      </c>
      <c r="I1721" s="1">
        <v>15000</v>
      </c>
      <c r="J1721" s="1">
        <v>3000</v>
      </c>
    </row>
    <row r="1722" spans="1:10" x14ac:dyDescent="0.3">
      <c r="A1722" t="s">
        <v>194</v>
      </c>
      <c r="B1722" t="s">
        <v>7</v>
      </c>
      <c r="C1722" t="s">
        <v>193</v>
      </c>
      <c r="D1722" t="s">
        <v>54</v>
      </c>
      <c r="E1722">
        <v>86</v>
      </c>
      <c r="F1722">
        <v>84</v>
      </c>
      <c r="G1722" s="1">
        <v>5000</v>
      </c>
      <c r="H1722" s="1">
        <v>5000</v>
      </c>
      <c r="I1722" s="1">
        <v>15000</v>
      </c>
      <c r="J1722" s="1">
        <v>3000</v>
      </c>
    </row>
    <row r="1723" spans="1:10" x14ac:dyDescent="0.3">
      <c r="A1723" t="s">
        <v>194</v>
      </c>
      <c r="B1723" t="s">
        <v>6</v>
      </c>
      <c r="C1723" t="s">
        <v>193</v>
      </c>
      <c r="D1723" t="s">
        <v>54</v>
      </c>
      <c r="E1723">
        <v>86</v>
      </c>
      <c r="F1723">
        <v>84</v>
      </c>
      <c r="G1723" s="1">
        <v>7500</v>
      </c>
      <c r="H1723" s="1">
        <v>7500</v>
      </c>
      <c r="I1723" s="1">
        <v>18750</v>
      </c>
      <c r="J1723" s="1">
        <v>2500</v>
      </c>
    </row>
    <row r="1724" spans="1:10" x14ac:dyDescent="0.3">
      <c r="A1724" t="s">
        <v>194</v>
      </c>
      <c r="B1724" t="s">
        <v>5</v>
      </c>
      <c r="C1724" t="s">
        <v>193</v>
      </c>
      <c r="D1724" t="s">
        <v>54</v>
      </c>
      <c r="E1724">
        <v>86</v>
      </c>
      <c r="F1724">
        <v>84</v>
      </c>
      <c r="G1724" s="1">
        <v>8000</v>
      </c>
      <c r="H1724" s="1">
        <v>8000</v>
      </c>
      <c r="I1724" s="1">
        <v>12000</v>
      </c>
      <c r="J1724" s="1">
        <v>1500</v>
      </c>
    </row>
    <row r="1725" spans="1:10" x14ac:dyDescent="0.3">
      <c r="A1725" t="s">
        <v>194</v>
      </c>
      <c r="B1725" t="s">
        <v>4</v>
      </c>
      <c r="C1725" t="s">
        <v>193</v>
      </c>
      <c r="D1725" t="s">
        <v>54</v>
      </c>
      <c r="E1725">
        <v>86</v>
      </c>
      <c r="F1725">
        <v>84</v>
      </c>
      <c r="G1725" s="1">
        <v>10000</v>
      </c>
      <c r="H1725" s="1">
        <v>9950</v>
      </c>
      <c r="I1725" s="1">
        <v>32832</v>
      </c>
      <c r="J1725" s="1">
        <v>3300</v>
      </c>
    </row>
    <row r="1726" spans="1:10" x14ac:dyDescent="0.3">
      <c r="A1726" t="s">
        <v>194</v>
      </c>
      <c r="B1726" t="s">
        <v>3</v>
      </c>
      <c r="C1726" t="s">
        <v>193</v>
      </c>
      <c r="D1726" t="s">
        <v>54</v>
      </c>
      <c r="E1726">
        <v>86</v>
      </c>
      <c r="F1726">
        <v>84</v>
      </c>
      <c r="G1726" s="1">
        <v>8800</v>
      </c>
      <c r="H1726" s="1">
        <v>8633</v>
      </c>
      <c r="I1726" s="1">
        <v>23313</v>
      </c>
      <c r="J1726" s="1">
        <v>2700</v>
      </c>
    </row>
    <row r="1727" spans="1:10" x14ac:dyDescent="0.3">
      <c r="A1727" t="s">
        <v>194</v>
      </c>
      <c r="B1727" t="s">
        <v>18</v>
      </c>
      <c r="C1727" t="s">
        <v>193</v>
      </c>
      <c r="D1727" t="s">
        <v>70</v>
      </c>
      <c r="E1727">
        <v>86</v>
      </c>
      <c r="F1727">
        <v>91</v>
      </c>
      <c r="G1727" s="1">
        <v>63000</v>
      </c>
      <c r="H1727" s="1">
        <v>62000</v>
      </c>
      <c r="I1727" s="1">
        <v>167400</v>
      </c>
      <c r="J1727" s="1">
        <v>2700</v>
      </c>
    </row>
    <row r="1728" spans="1:10" x14ac:dyDescent="0.3">
      <c r="A1728" t="s">
        <v>194</v>
      </c>
      <c r="B1728" t="s">
        <v>17</v>
      </c>
      <c r="C1728" t="s">
        <v>193</v>
      </c>
      <c r="D1728" t="s">
        <v>70</v>
      </c>
      <c r="E1728">
        <v>86</v>
      </c>
      <c r="F1728">
        <v>91</v>
      </c>
      <c r="G1728" s="1">
        <v>53915</v>
      </c>
      <c r="H1728" s="1">
        <v>53915</v>
      </c>
      <c r="I1728" s="1">
        <v>156354</v>
      </c>
      <c r="J1728" s="1">
        <v>2900</v>
      </c>
    </row>
    <row r="1729" spans="1:10" x14ac:dyDescent="0.3">
      <c r="A1729" t="s">
        <v>194</v>
      </c>
      <c r="B1729" t="s">
        <v>14</v>
      </c>
      <c r="C1729" t="s">
        <v>193</v>
      </c>
      <c r="D1729" t="s">
        <v>70</v>
      </c>
      <c r="E1729">
        <v>86</v>
      </c>
      <c r="F1729">
        <v>91</v>
      </c>
      <c r="G1729" s="1">
        <v>60000</v>
      </c>
      <c r="H1729" s="1">
        <v>60000</v>
      </c>
      <c r="I1729" s="1">
        <v>210000</v>
      </c>
      <c r="J1729" s="1">
        <v>3500</v>
      </c>
    </row>
    <row r="1730" spans="1:10" x14ac:dyDescent="0.3">
      <c r="A1730" t="s">
        <v>194</v>
      </c>
      <c r="B1730" t="s">
        <v>12</v>
      </c>
      <c r="C1730" t="s">
        <v>193</v>
      </c>
      <c r="D1730" t="s">
        <v>70</v>
      </c>
      <c r="E1730">
        <v>86</v>
      </c>
      <c r="F1730">
        <v>91</v>
      </c>
      <c r="G1730" s="1">
        <v>65000</v>
      </c>
      <c r="H1730" s="1">
        <v>65000</v>
      </c>
      <c r="I1730" s="1">
        <v>195000</v>
      </c>
      <c r="J1730" s="1">
        <v>3000</v>
      </c>
    </row>
    <row r="1731" spans="1:10" x14ac:dyDescent="0.3">
      <c r="A1731" t="s">
        <v>194</v>
      </c>
      <c r="B1731" t="s">
        <v>9</v>
      </c>
      <c r="C1731" t="s">
        <v>193</v>
      </c>
      <c r="D1731" t="s">
        <v>70</v>
      </c>
      <c r="E1731">
        <v>86</v>
      </c>
      <c r="F1731">
        <v>91</v>
      </c>
      <c r="G1731" s="1">
        <v>77500</v>
      </c>
      <c r="H1731" s="1">
        <v>77500</v>
      </c>
      <c r="I1731" s="1">
        <v>277050</v>
      </c>
      <c r="J1731" s="1">
        <v>3575</v>
      </c>
    </row>
    <row r="1732" spans="1:10" x14ac:dyDescent="0.3">
      <c r="A1732" t="s">
        <v>194</v>
      </c>
      <c r="B1732" t="s">
        <v>8</v>
      </c>
      <c r="C1732" t="s">
        <v>193</v>
      </c>
      <c r="D1732" t="s">
        <v>70</v>
      </c>
      <c r="E1732">
        <v>86</v>
      </c>
      <c r="F1732">
        <v>91</v>
      </c>
      <c r="G1732" s="1">
        <v>81700</v>
      </c>
      <c r="H1732" s="1">
        <v>81700</v>
      </c>
      <c r="I1732" s="1">
        <v>245100</v>
      </c>
      <c r="J1732" s="1">
        <v>3000</v>
      </c>
    </row>
    <row r="1733" spans="1:10" x14ac:dyDescent="0.3">
      <c r="A1733" t="s">
        <v>194</v>
      </c>
      <c r="B1733" t="s">
        <v>7</v>
      </c>
      <c r="C1733" t="s">
        <v>193</v>
      </c>
      <c r="D1733" t="s">
        <v>70</v>
      </c>
      <c r="E1733">
        <v>86</v>
      </c>
      <c r="F1733">
        <v>91</v>
      </c>
      <c r="G1733" s="1">
        <v>81600</v>
      </c>
      <c r="H1733" s="1">
        <v>81600</v>
      </c>
      <c r="I1733" s="1">
        <v>285600</v>
      </c>
      <c r="J1733" s="1">
        <v>3500</v>
      </c>
    </row>
    <row r="1734" spans="1:10" x14ac:dyDescent="0.3">
      <c r="A1734" t="s">
        <v>194</v>
      </c>
      <c r="B1734" t="s">
        <v>6</v>
      </c>
      <c r="C1734" t="s">
        <v>193</v>
      </c>
      <c r="D1734" t="s">
        <v>70</v>
      </c>
      <c r="E1734">
        <v>86</v>
      </c>
      <c r="F1734">
        <v>91</v>
      </c>
      <c r="G1734" s="1">
        <v>87000</v>
      </c>
      <c r="H1734" s="1">
        <v>87000</v>
      </c>
      <c r="I1734" s="1">
        <v>217500</v>
      </c>
      <c r="J1734" s="1">
        <v>2500</v>
      </c>
    </row>
    <row r="1735" spans="1:10" x14ac:dyDescent="0.3">
      <c r="A1735" t="s">
        <v>194</v>
      </c>
      <c r="B1735" t="s">
        <v>5</v>
      </c>
      <c r="C1735" t="s">
        <v>193</v>
      </c>
      <c r="D1735" t="s">
        <v>70</v>
      </c>
      <c r="E1735">
        <v>86</v>
      </c>
      <c r="F1735">
        <v>91</v>
      </c>
      <c r="G1735" s="1">
        <v>85000</v>
      </c>
      <c r="H1735" s="1">
        <v>85000</v>
      </c>
      <c r="I1735" s="1">
        <v>147500</v>
      </c>
      <c r="J1735" s="1">
        <v>1735</v>
      </c>
    </row>
    <row r="1736" spans="1:10" x14ac:dyDescent="0.3">
      <c r="A1736" t="s">
        <v>194</v>
      </c>
      <c r="B1736" t="s">
        <v>4</v>
      </c>
      <c r="C1736" t="s">
        <v>193</v>
      </c>
      <c r="D1736" t="s">
        <v>70</v>
      </c>
      <c r="E1736">
        <v>86</v>
      </c>
      <c r="F1736">
        <v>91</v>
      </c>
      <c r="G1736" s="1">
        <v>85000</v>
      </c>
      <c r="H1736" s="1">
        <v>84860</v>
      </c>
      <c r="I1736" s="1">
        <v>296069</v>
      </c>
      <c r="J1736" s="1">
        <v>3489</v>
      </c>
    </row>
    <row r="1737" spans="1:10" x14ac:dyDescent="0.3">
      <c r="A1737" t="s">
        <v>194</v>
      </c>
      <c r="B1737" t="s">
        <v>3</v>
      </c>
      <c r="C1737" t="s">
        <v>193</v>
      </c>
      <c r="D1737" t="s">
        <v>70</v>
      </c>
      <c r="E1737">
        <v>86</v>
      </c>
      <c r="F1737">
        <v>91</v>
      </c>
      <c r="G1737" s="1">
        <v>93500</v>
      </c>
      <c r="H1737" s="1">
        <v>93200</v>
      </c>
      <c r="I1737" s="1">
        <v>261510</v>
      </c>
      <c r="J1737" s="1">
        <v>2806</v>
      </c>
    </row>
    <row r="1738" spans="1:10" x14ac:dyDescent="0.3">
      <c r="A1738" t="s">
        <v>194</v>
      </c>
      <c r="B1738" t="s">
        <v>18</v>
      </c>
      <c r="C1738" t="s">
        <v>193</v>
      </c>
      <c r="D1738" t="s">
        <v>69</v>
      </c>
      <c r="E1738">
        <v>86</v>
      </c>
      <c r="F1738">
        <v>98</v>
      </c>
      <c r="G1738" s="1">
        <v>55000</v>
      </c>
      <c r="H1738" s="1">
        <v>54500</v>
      </c>
      <c r="I1738" s="1">
        <v>158050</v>
      </c>
      <c r="J1738" s="1">
        <v>2900</v>
      </c>
    </row>
    <row r="1739" spans="1:10" x14ac:dyDescent="0.3">
      <c r="A1739" t="s">
        <v>194</v>
      </c>
      <c r="B1739" t="s">
        <v>17</v>
      </c>
      <c r="C1739" t="s">
        <v>193</v>
      </c>
      <c r="D1739" t="s">
        <v>69</v>
      </c>
      <c r="E1739">
        <v>86</v>
      </c>
      <c r="F1739">
        <v>98</v>
      </c>
      <c r="G1739" s="1">
        <v>55000</v>
      </c>
      <c r="H1739" s="1">
        <v>49000</v>
      </c>
      <c r="I1739" s="1">
        <v>127400</v>
      </c>
      <c r="J1739" s="1">
        <v>2600</v>
      </c>
    </row>
    <row r="1740" spans="1:10" x14ac:dyDescent="0.3">
      <c r="A1740" t="s">
        <v>194</v>
      </c>
      <c r="B1740" t="s">
        <v>14</v>
      </c>
      <c r="C1740" t="s">
        <v>193</v>
      </c>
      <c r="D1740" t="s">
        <v>69</v>
      </c>
      <c r="E1740">
        <v>86</v>
      </c>
      <c r="F1740">
        <v>98</v>
      </c>
      <c r="G1740" s="1">
        <v>77640</v>
      </c>
      <c r="H1740" s="1">
        <v>77340</v>
      </c>
      <c r="I1740" s="1">
        <v>270690</v>
      </c>
      <c r="J1740" s="1">
        <v>3500</v>
      </c>
    </row>
    <row r="1741" spans="1:10" x14ac:dyDescent="0.3">
      <c r="A1741" t="s">
        <v>194</v>
      </c>
      <c r="B1741" t="s">
        <v>12</v>
      </c>
      <c r="C1741" t="s">
        <v>193</v>
      </c>
      <c r="D1741" t="s">
        <v>69</v>
      </c>
      <c r="E1741">
        <v>86</v>
      </c>
      <c r="F1741">
        <v>98</v>
      </c>
      <c r="G1741" s="1">
        <v>80000</v>
      </c>
      <c r="H1741" s="1">
        <v>78850</v>
      </c>
      <c r="I1741" s="1">
        <v>165585</v>
      </c>
      <c r="J1741" s="1">
        <v>2100</v>
      </c>
    </row>
    <row r="1742" spans="1:10" x14ac:dyDescent="0.3">
      <c r="A1742" t="s">
        <v>194</v>
      </c>
      <c r="B1742" t="s">
        <v>9</v>
      </c>
      <c r="C1742" t="s">
        <v>193</v>
      </c>
      <c r="D1742" t="s">
        <v>69</v>
      </c>
      <c r="E1742">
        <v>86</v>
      </c>
      <c r="F1742">
        <v>98</v>
      </c>
      <c r="G1742" s="1">
        <v>72750</v>
      </c>
      <c r="H1742" s="1">
        <v>71120</v>
      </c>
      <c r="I1742" s="1">
        <v>223939</v>
      </c>
      <c r="J1742" s="1">
        <v>3149</v>
      </c>
    </row>
    <row r="1743" spans="1:10" x14ac:dyDescent="0.3">
      <c r="A1743" t="s">
        <v>194</v>
      </c>
      <c r="B1743" t="s">
        <v>8</v>
      </c>
      <c r="C1743" t="s">
        <v>193</v>
      </c>
      <c r="D1743" t="s">
        <v>69</v>
      </c>
      <c r="E1743">
        <v>86</v>
      </c>
      <c r="F1743">
        <v>98</v>
      </c>
      <c r="G1743" s="1">
        <v>71500</v>
      </c>
      <c r="H1743" s="1">
        <v>70970</v>
      </c>
      <c r="I1743" s="1">
        <v>231475</v>
      </c>
      <c r="J1743" s="1">
        <v>3262</v>
      </c>
    </row>
    <row r="1744" spans="1:10" x14ac:dyDescent="0.3">
      <c r="A1744" t="s">
        <v>194</v>
      </c>
      <c r="B1744" t="s">
        <v>7</v>
      </c>
      <c r="C1744" t="s">
        <v>193</v>
      </c>
      <c r="D1744" t="s">
        <v>69</v>
      </c>
      <c r="E1744">
        <v>86</v>
      </c>
      <c r="F1744">
        <v>98</v>
      </c>
      <c r="G1744" s="1">
        <v>75500</v>
      </c>
      <c r="H1744" s="1">
        <v>75500</v>
      </c>
      <c r="I1744" s="1">
        <v>259450</v>
      </c>
      <c r="J1744" s="1">
        <v>3436</v>
      </c>
    </row>
    <row r="1745" spans="1:10" x14ac:dyDescent="0.3">
      <c r="A1745" t="s">
        <v>194</v>
      </c>
      <c r="B1745" t="s">
        <v>6</v>
      </c>
      <c r="C1745" t="s">
        <v>193</v>
      </c>
      <c r="D1745" t="s">
        <v>69</v>
      </c>
      <c r="E1745">
        <v>86</v>
      </c>
      <c r="F1745">
        <v>98</v>
      </c>
      <c r="G1745" s="1">
        <v>73900</v>
      </c>
      <c r="H1745" s="1">
        <v>73900</v>
      </c>
      <c r="I1745" s="1">
        <v>240990</v>
      </c>
      <c r="J1745" s="1">
        <v>3261</v>
      </c>
    </row>
    <row r="1746" spans="1:10" x14ac:dyDescent="0.3">
      <c r="A1746" t="s">
        <v>194</v>
      </c>
      <c r="B1746" t="s">
        <v>5</v>
      </c>
      <c r="C1746" t="s">
        <v>193</v>
      </c>
      <c r="D1746" t="s">
        <v>69</v>
      </c>
      <c r="E1746">
        <v>86</v>
      </c>
      <c r="F1746">
        <v>98</v>
      </c>
      <c r="G1746" s="1">
        <v>77905</v>
      </c>
      <c r="H1746" s="1">
        <v>77905</v>
      </c>
      <c r="I1746" s="1">
        <v>215313</v>
      </c>
      <c r="J1746" s="1">
        <v>2764</v>
      </c>
    </row>
    <row r="1747" spans="1:10" x14ac:dyDescent="0.3">
      <c r="A1747" t="s">
        <v>194</v>
      </c>
      <c r="B1747" t="s">
        <v>4</v>
      </c>
      <c r="C1747" t="s">
        <v>193</v>
      </c>
      <c r="D1747" t="s">
        <v>69</v>
      </c>
      <c r="E1747">
        <v>86</v>
      </c>
      <c r="F1747">
        <v>98</v>
      </c>
      <c r="G1747" s="1">
        <v>74500</v>
      </c>
      <c r="H1747" s="1">
        <v>74020</v>
      </c>
      <c r="I1747" s="1">
        <v>213076</v>
      </c>
      <c r="J1747" s="1">
        <v>2879</v>
      </c>
    </row>
    <row r="1748" spans="1:10" x14ac:dyDescent="0.3">
      <c r="A1748" t="s">
        <v>194</v>
      </c>
      <c r="B1748" t="s">
        <v>3</v>
      </c>
      <c r="C1748" t="s">
        <v>193</v>
      </c>
      <c r="D1748" t="s">
        <v>69</v>
      </c>
      <c r="E1748">
        <v>86</v>
      </c>
      <c r="F1748">
        <v>98</v>
      </c>
      <c r="G1748" s="1">
        <v>95500</v>
      </c>
      <c r="H1748" s="1">
        <v>89074</v>
      </c>
      <c r="I1748" s="1">
        <v>206100</v>
      </c>
      <c r="J1748" s="1">
        <v>2314</v>
      </c>
    </row>
    <row r="1749" spans="1:10" x14ac:dyDescent="0.3">
      <c r="A1749" t="s">
        <v>194</v>
      </c>
      <c r="B1749" t="s">
        <v>18</v>
      </c>
      <c r="C1749" t="s">
        <v>193</v>
      </c>
      <c r="D1749" t="s">
        <v>31</v>
      </c>
      <c r="E1749">
        <v>86</v>
      </c>
      <c r="F1749">
        <v>105</v>
      </c>
      <c r="G1749" s="1">
        <v>1500</v>
      </c>
      <c r="H1749" s="1">
        <v>1500</v>
      </c>
      <c r="I1749" s="1">
        <v>3300</v>
      </c>
      <c r="J1749" s="1">
        <v>2200</v>
      </c>
    </row>
    <row r="1750" spans="1:10" x14ac:dyDescent="0.3">
      <c r="A1750" t="s">
        <v>194</v>
      </c>
      <c r="B1750" t="s">
        <v>17</v>
      </c>
      <c r="C1750" t="s">
        <v>193</v>
      </c>
      <c r="D1750" t="s">
        <v>31</v>
      </c>
      <c r="E1750">
        <v>86</v>
      </c>
      <c r="F1750">
        <v>105</v>
      </c>
      <c r="G1750" s="1">
        <v>1500</v>
      </c>
      <c r="H1750" s="1">
        <v>1500</v>
      </c>
      <c r="I1750" s="1">
        <v>3600</v>
      </c>
      <c r="J1750" s="1">
        <v>2400</v>
      </c>
    </row>
    <row r="1751" spans="1:10" x14ac:dyDescent="0.3">
      <c r="A1751" t="s">
        <v>194</v>
      </c>
      <c r="B1751" t="s">
        <v>14</v>
      </c>
      <c r="C1751" t="s">
        <v>193</v>
      </c>
      <c r="D1751" t="s">
        <v>31</v>
      </c>
      <c r="E1751">
        <v>86</v>
      </c>
      <c r="F1751">
        <v>105</v>
      </c>
      <c r="G1751" s="1">
        <v>2000</v>
      </c>
      <c r="H1751" s="1">
        <v>2000</v>
      </c>
      <c r="I1751" s="1">
        <v>6000</v>
      </c>
      <c r="J1751" s="1">
        <v>3000</v>
      </c>
    </row>
    <row r="1752" spans="1:10" x14ac:dyDescent="0.3">
      <c r="A1752" t="s">
        <v>194</v>
      </c>
      <c r="B1752" t="s">
        <v>12</v>
      </c>
      <c r="C1752" t="s">
        <v>193</v>
      </c>
      <c r="D1752" t="s">
        <v>31</v>
      </c>
      <c r="E1752">
        <v>86</v>
      </c>
      <c r="F1752">
        <v>105</v>
      </c>
      <c r="G1752" s="1">
        <v>2500</v>
      </c>
      <c r="H1752" s="1">
        <v>2500</v>
      </c>
      <c r="I1752" s="1">
        <v>6250</v>
      </c>
      <c r="J1752" s="1">
        <v>2500</v>
      </c>
    </row>
    <row r="1753" spans="1:10" x14ac:dyDescent="0.3">
      <c r="A1753" t="s">
        <v>194</v>
      </c>
      <c r="B1753" t="s">
        <v>9</v>
      </c>
      <c r="C1753" t="s">
        <v>193</v>
      </c>
      <c r="D1753" t="s">
        <v>31</v>
      </c>
      <c r="E1753">
        <v>86</v>
      </c>
      <c r="F1753">
        <v>105</v>
      </c>
      <c r="G1753" s="1">
        <v>2500</v>
      </c>
      <c r="H1753" s="1">
        <v>2500</v>
      </c>
      <c r="I1753" s="1">
        <v>8750</v>
      </c>
      <c r="J1753" s="1">
        <v>3500</v>
      </c>
    </row>
    <row r="1754" spans="1:10" x14ac:dyDescent="0.3">
      <c r="A1754" t="s">
        <v>194</v>
      </c>
      <c r="B1754" t="s">
        <v>8</v>
      </c>
      <c r="C1754" t="s">
        <v>193</v>
      </c>
      <c r="D1754" t="s">
        <v>31</v>
      </c>
      <c r="E1754">
        <v>86</v>
      </c>
      <c r="F1754">
        <v>105</v>
      </c>
      <c r="G1754" s="1">
        <v>2500</v>
      </c>
      <c r="H1754" s="1">
        <v>2500</v>
      </c>
      <c r="I1754" s="1">
        <v>7500</v>
      </c>
      <c r="J1754" s="1">
        <v>3000</v>
      </c>
    </row>
    <row r="1755" spans="1:10" x14ac:dyDescent="0.3">
      <c r="A1755" t="s">
        <v>194</v>
      </c>
      <c r="B1755" t="s">
        <v>7</v>
      </c>
      <c r="C1755" t="s">
        <v>193</v>
      </c>
      <c r="D1755" t="s">
        <v>31</v>
      </c>
      <c r="E1755">
        <v>86</v>
      </c>
      <c r="F1755">
        <v>105</v>
      </c>
      <c r="G1755" s="1">
        <v>2500</v>
      </c>
      <c r="H1755" s="1">
        <v>2500</v>
      </c>
      <c r="I1755" s="1">
        <v>7500</v>
      </c>
      <c r="J1755" s="1">
        <v>3000</v>
      </c>
    </row>
    <row r="1756" spans="1:10" x14ac:dyDescent="0.3">
      <c r="A1756" t="s">
        <v>194</v>
      </c>
      <c r="B1756" t="s">
        <v>6</v>
      </c>
      <c r="C1756" t="s">
        <v>193</v>
      </c>
      <c r="D1756" t="s">
        <v>31</v>
      </c>
      <c r="E1756">
        <v>86</v>
      </c>
      <c r="F1756">
        <v>105</v>
      </c>
      <c r="G1756" s="1">
        <v>2500</v>
      </c>
      <c r="H1756" s="1">
        <v>2500</v>
      </c>
      <c r="I1756" s="1">
        <v>6250</v>
      </c>
      <c r="J1756" s="1">
        <v>2500</v>
      </c>
    </row>
    <row r="1757" spans="1:10" x14ac:dyDescent="0.3">
      <c r="A1757" t="s">
        <v>194</v>
      </c>
      <c r="B1757" t="s">
        <v>5</v>
      </c>
      <c r="C1757" t="s">
        <v>193</v>
      </c>
      <c r="D1757" t="s">
        <v>31</v>
      </c>
      <c r="E1757">
        <v>86</v>
      </c>
      <c r="F1757">
        <v>105</v>
      </c>
      <c r="G1757" s="1">
        <v>3000</v>
      </c>
      <c r="H1757" s="1">
        <v>3000</v>
      </c>
      <c r="I1757" s="1">
        <v>4500</v>
      </c>
      <c r="J1757" s="1">
        <v>1500</v>
      </c>
    </row>
    <row r="1758" spans="1:10" x14ac:dyDescent="0.3">
      <c r="A1758" t="s">
        <v>194</v>
      </c>
      <c r="B1758" t="s">
        <v>4</v>
      </c>
      <c r="C1758" t="s">
        <v>193</v>
      </c>
      <c r="D1758" t="s">
        <v>31</v>
      </c>
      <c r="E1758">
        <v>86</v>
      </c>
      <c r="F1758">
        <v>105</v>
      </c>
      <c r="G1758" s="1">
        <v>3000</v>
      </c>
      <c r="H1758" s="1">
        <v>2945</v>
      </c>
      <c r="I1758" s="1">
        <v>10348</v>
      </c>
      <c r="J1758" s="1">
        <v>3514</v>
      </c>
    </row>
    <row r="1759" spans="1:10" x14ac:dyDescent="0.3">
      <c r="A1759" t="s">
        <v>194</v>
      </c>
      <c r="B1759" t="s">
        <v>3</v>
      </c>
      <c r="C1759" t="s">
        <v>193</v>
      </c>
      <c r="D1759" t="s">
        <v>31</v>
      </c>
      <c r="E1759">
        <v>86</v>
      </c>
      <c r="F1759">
        <v>105</v>
      </c>
      <c r="G1759" s="1">
        <v>3400</v>
      </c>
      <c r="H1759" s="1">
        <v>3290</v>
      </c>
      <c r="I1759" s="1">
        <v>8867</v>
      </c>
      <c r="J1759" s="1">
        <v>2695</v>
      </c>
    </row>
    <row r="1760" spans="1:10" x14ac:dyDescent="0.3">
      <c r="A1760" t="s">
        <v>194</v>
      </c>
      <c r="B1760" t="s">
        <v>18</v>
      </c>
      <c r="C1760" t="s">
        <v>193</v>
      </c>
      <c r="D1760" t="s">
        <v>56</v>
      </c>
      <c r="E1760">
        <v>86</v>
      </c>
      <c r="F1760">
        <v>112</v>
      </c>
      <c r="G1760" s="1">
        <v>20000</v>
      </c>
      <c r="H1760" s="1">
        <v>19500</v>
      </c>
      <c r="I1760" s="1">
        <v>46800</v>
      </c>
      <c r="J1760" s="1">
        <v>2400</v>
      </c>
    </row>
    <row r="1761" spans="1:10" x14ac:dyDescent="0.3">
      <c r="A1761" t="s">
        <v>194</v>
      </c>
      <c r="B1761" t="s">
        <v>17</v>
      </c>
      <c r="C1761" t="s">
        <v>193</v>
      </c>
      <c r="D1761" t="s">
        <v>56</v>
      </c>
      <c r="E1761">
        <v>86</v>
      </c>
      <c r="F1761">
        <v>112</v>
      </c>
      <c r="G1761" s="1">
        <v>15000</v>
      </c>
      <c r="H1761" s="1">
        <v>15000</v>
      </c>
      <c r="I1761" s="1">
        <v>40500</v>
      </c>
      <c r="J1761" s="1">
        <v>2700</v>
      </c>
    </row>
    <row r="1762" spans="1:10" x14ac:dyDescent="0.3">
      <c r="A1762" t="s">
        <v>194</v>
      </c>
      <c r="B1762" t="s">
        <v>14</v>
      </c>
      <c r="C1762" t="s">
        <v>193</v>
      </c>
      <c r="D1762" t="s">
        <v>56</v>
      </c>
      <c r="E1762">
        <v>86</v>
      </c>
      <c r="F1762">
        <v>112</v>
      </c>
      <c r="G1762" s="1">
        <v>15000</v>
      </c>
      <c r="H1762" s="1">
        <v>15000</v>
      </c>
      <c r="I1762" s="1">
        <v>52500</v>
      </c>
      <c r="J1762" s="1">
        <v>3500</v>
      </c>
    </row>
    <row r="1763" spans="1:10" x14ac:dyDescent="0.3">
      <c r="A1763" t="s">
        <v>194</v>
      </c>
      <c r="B1763" t="s">
        <v>12</v>
      </c>
      <c r="C1763" t="s">
        <v>193</v>
      </c>
      <c r="D1763" t="s">
        <v>56</v>
      </c>
      <c r="E1763">
        <v>86</v>
      </c>
      <c r="F1763">
        <v>112</v>
      </c>
      <c r="G1763" s="1">
        <v>15000</v>
      </c>
      <c r="H1763" s="1">
        <v>15000</v>
      </c>
      <c r="I1763" s="1">
        <v>22500</v>
      </c>
      <c r="J1763" s="1">
        <v>1500</v>
      </c>
    </row>
    <row r="1764" spans="1:10" x14ac:dyDescent="0.3">
      <c r="A1764" t="s">
        <v>194</v>
      </c>
      <c r="B1764" t="s">
        <v>9</v>
      </c>
      <c r="C1764" t="s">
        <v>193</v>
      </c>
      <c r="D1764" t="s">
        <v>56</v>
      </c>
      <c r="E1764">
        <v>86</v>
      </c>
      <c r="F1764">
        <v>112</v>
      </c>
      <c r="G1764" s="1">
        <v>15000</v>
      </c>
      <c r="H1764" s="1">
        <v>15000</v>
      </c>
      <c r="I1764" s="1">
        <v>52527</v>
      </c>
      <c r="J1764" s="1">
        <v>3502</v>
      </c>
    </row>
    <row r="1765" spans="1:10" x14ac:dyDescent="0.3">
      <c r="A1765" t="s">
        <v>194</v>
      </c>
      <c r="B1765" t="s">
        <v>8</v>
      </c>
      <c r="C1765" t="s">
        <v>193</v>
      </c>
      <c r="D1765" t="s">
        <v>56</v>
      </c>
      <c r="E1765">
        <v>86</v>
      </c>
      <c r="F1765">
        <v>112</v>
      </c>
      <c r="G1765" s="1">
        <v>12000</v>
      </c>
      <c r="H1765" s="1">
        <v>12000</v>
      </c>
      <c r="I1765" s="1">
        <v>36000</v>
      </c>
      <c r="J1765" s="1">
        <v>3000</v>
      </c>
    </row>
    <row r="1766" spans="1:10" x14ac:dyDescent="0.3">
      <c r="A1766" t="s">
        <v>194</v>
      </c>
      <c r="B1766" t="s">
        <v>7</v>
      </c>
      <c r="C1766" t="s">
        <v>193</v>
      </c>
      <c r="D1766" t="s">
        <v>56</v>
      </c>
      <c r="E1766">
        <v>86</v>
      </c>
      <c r="F1766">
        <v>112</v>
      </c>
      <c r="G1766" s="1">
        <v>12000</v>
      </c>
      <c r="H1766" s="1">
        <v>12000</v>
      </c>
      <c r="I1766" s="1">
        <v>36000</v>
      </c>
      <c r="J1766" s="1">
        <v>3000</v>
      </c>
    </row>
    <row r="1767" spans="1:10" x14ac:dyDescent="0.3">
      <c r="A1767" t="s">
        <v>194</v>
      </c>
      <c r="B1767" t="s">
        <v>6</v>
      </c>
      <c r="C1767" t="s">
        <v>193</v>
      </c>
      <c r="D1767" t="s">
        <v>56</v>
      </c>
      <c r="E1767">
        <v>86</v>
      </c>
      <c r="F1767">
        <v>112</v>
      </c>
      <c r="G1767" s="1">
        <v>12000</v>
      </c>
      <c r="H1767" s="1">
        <v>12000</v>
      </c>
      <c r="I1767" s="1">
        <v>30000</v>
      </c>
      <c r="J1767" s="1">
        <v>2500</v>
      </c>
    </row>
    <row r="1768" spans="1:10" x14ac:dyDescent="0.3">
      <c r="A1768" t="s">
        <v>194</v>
      </c>
      <c r="B1768" t="s">
        <v>5</v>
      </c>
      <c r="C1768" t="s">
        <v>193</v>
      </c>
      <c r="D1768" t="s">
        <v>56</v>
      </c>
      <c r="E1768">
        <v>86</v>
      </c>
      <c r="F1768">
        <v>112</v>
      </c>
      <c r="G1768" s="1">
        <v>13000</v>
      </c>
      <c r="H1768" s="1">
        <v>13000</v>
      </c>
      <c r="I1768" s="1">
        <v>19500</v>
      </c>
      <c r="J1768" s="1">
        <v>1500</v>
      </c>
    </row>
    <row r="1769" spans="1:10" x14ac:dyDescent="0.3">
      <c r="A1769" t="s">
        <v>194</v>
      </c>
      <c r="B1769" t="s">
        <v>4</v>
      </c>
      <c r="C1769" t="s">
        <v>193</v>
      </c>
      <c r="D1769" t="s">
        <v>56</v>
      </c>
      <c r="E1769">
        <v>86</v>
      </c>
      <c r="F1769">
        <v>112</v>
      </c>
      <c r="G1769" s="1">
        <v>13000</v>
      </c>
      <c r="H1769" s="1">
        <v>12902</v>
      </c>
      <c r="I1769" s="1">
        <v>48848</v>
      </c>
      <c r="J1769" s="1">
        <v>3786</v>
      </c>
    </row>
    <row r="1770" spans="1:10" x14ac:dyDescent="0.3">
      <c r="A1770" t="s">
        <v>194</v>
      </c>
      <c r="B1770" t="s">
        <v>3</v>
      </c>
      <c r="C1770" t="s">
        <v>193</v>
      </c>
      <c r="D1770" t="s">
        <v>56</v>
      </c>
      <c r="E1770">
        <v>86</v>
      </c>
      <c r="F1770">
        <v>112</v>
      </c>
      <c r="G1770" s="1">
        <v>14300</v>
      </c>
      <c r="H1770" s="1">
        <v>14060</v>
      </c>
      <c r="I1770" s="1">
        <v>35150</v>
      </c>
      <c r="J1770" s="1">
        <v>2500</v>
      </c>
    </row>
    <row r="1771" spans="1:10" x14ac:dyDescent="0.3">
      <c r="A1771" t="s">
        <v>194</v>
      </c>
      <c r="B1771" t="s">
        <v>18</v>
      </c>
      <c r="C1771" t="s">
        <v>193</v>
      </c>
      <c r="D1771" t="s">
        <v>72</v>
      </c>
      <c r="E1771">
        <v>86</v>
      </c>
      <c r="F1771">
        <v>119</v>
      </c>
      <c r="G1771" s="1">
        <v>220000</v>
      </c>
      <c r="H1771" s="1">
        <v>217800</v>
      </c>
      <c r="I1771" s="1">
        <v>566280</v>
      </c>
      <c r="J1771" s="1">
        <v>2600</v>
      </c>
    </row>
    <row r="1772" spans="1:10" x14ac:dyDescent="0.3">
      <c r="A1772" t="s">
        <v>194</v>
      </c>
      <c r="B1772" t="s">
        <v>17</v>
      </c>
      <c r="C1772" t="s">
        <v>193</v>
      </c>
      <c r="D1772" t="s">
        <v>72</v>
      </c>
      <c r="E1772">
        <v>86</v>
      </c>
      <c r="F1772">
        <v>119</v>
      </c>
      <c r="G1772" s="1">
        <v>290000</v>
      </c>
      <c r="H1772" s="1">
        <v>285000</v>
      </c>
      <c r="I1772" s="1">
        <v>741000</v>
      </c>
      <c r="J1772" s="1">
        <v>2600</v>
      </c>
    </row>
    <row r="1773" spans="1:10" x14ac:dyDescent="0.3">
      <c r="A1773" t="s">
        <v>194</v>
      </c>
      <c r="B1773" t="s">
        <v>14</v>
      </c>
      <c r="C1773" t="s">
        <v>193</v>
      </c>
      <c r="D1773" t="s">
        <v>72</v>
      </c>
      <c r="E1773">
        <v>86</v>
      </c>
      <c r="F1773">
        <v>119</v>
      </c>
      <c r="G1773" s="1">
        <v>231550</v>
      </c>
      <c r="H1773" s="1">
        <v>231170</v>
      </c>
      <c r="I1773" s="1">
        <v>832212</v>
      </c>
      <c r="J1773" s="1">
        <v>3600</v>
      </c>
    </row>
    <row r="1774" spans="1:10" x14ac:dyDescent="0.3">
      <c r="A1774" t="s">
        <v>194</v>
      </c>
      <c r="B1774" t="s">
        <v>12</v>
      </c>
      <c r="C1774" t="s">
        <v>193</v>
      </c>
      <c r="D1774" t="s">
        <v>72</v>
      </c>
      <c r="E1774">
        <v>86</v>
      </c>
      <c r="F1774">
        <v>119</v>
      </c>
      <c r="G1774" s="1">
        <v>240000</v>
      </c>
      <c r="H1774" s="1">
        <v>235850</v>
      </c>
      <c r="I1774" s="1">
        <v>660380</v>
      </c>
      <c r="J1774" s="1">
        <v>2800</v>
      </c>
    </row>
    <row r="1775" spans="1:10" x14ac:dyDescent="0.3">
      <c r="A1775" t="s">
        <v>194</v>
      </c>
      <c r="B1775" t="s">
        <v>9</v>
      </c>
      <c r="C1775" t="s">
        <v>193</v>
      </c>
      <c r="D1775" t="s">
        <v>72</v>
      </c>
      <c r="E1775">
        <v>86</v>
      </c>
      <c r="F1775">
        <v>119</v>
      </c>
      <c r="G1775" s="1">
        <v>270000</v>
      </c>
      <c r="H1775" s="1">
        <v>265000</v>
      </c>
      <c r="I1775" s="1">
        <v>833846</v>
      </c>
      <c r="J1775" s="1">
        <v>3147</v>
      </c>
    </row>
    <row r="1776" spans="1:10" x14ac:dyDescent="0.3">
      <c r="A1776" t="s">
        <v>194</v>
      </c>
      <c r="B1776" t="s">
        <v>8</v>
      </c>
      <c r="C1776" t="s">
        <v>193</v>
      </c>
      <c r="D1776" t="s">
        <v>72</v>
      </c>
      <c r="E1776">
        <v>86</v>
      </c>
      <c r="F1776">
        <v>119</v>
      </c>
      <c r="G1776" s="1">
        <v>287600</v>
      </c>
      <c r="H1776" s="1">
        <v>286265</v>
      </c>
      <c r="I1776" s="1">
        <v>926060</v>
      </c>
      <c r="J1776" s="1">
        <v>3235</v>
      </c>
    </row>
    <row r="1777" spans="1:10" x14ac:dyDescent="0.3">
      <c r="A1777" t="s">
        <v>194</v>
      </c>
      <c r="B1777" t="s">
        <v>7</v>
      </c>
      <c r="C1777" t="s">
        <v>193</v>
      </c>
      <c r="D1777" t="s">
        <v>72</v>
      </c>
      <c r="E1777">
        <v>86</v>
      </c>
      <c r="F1777">
        <v>119</v>
      </c>
      <c r="G1777" s="1">
        <v>295000</v>
      </c>
      <c r="H1777" s="1">
        <v>295000</v>
      </c>
      <c r="I1777" s="1">
        <v>977900</v>
      </c>
      <c r="J1777" s="1">
        <v>3315</v>
      </c>
    </row>
    <row r="1778" spans="1:10" x14ac:dyDescent="0.3">
      <c r="A1778" t="s">
        <v>194</v>
      </c>
      <c r="B1778" t="s">
        <v>6</v>
      </c>
      <c r="C1778" t="s">
        <v>193</v>
      </c>
      <c r="D1778" t="s">
        <v>72</v>
      </c>
      <c r="E1778">
        <v>86</v>
      </c>
      <c r="F1778">
        <v>119</v>
      </c>
      <c r="G1778" s="1">
        <v>290600</v>
      </c>
      <c r="H1778" s="1">
        <v>290600</v>
      </c>
      <c r="I1778" s="1">
        <v>976160</v>
      </c>
      <c r="J1778" s="1">
        <v>3359</v>
      </c>
    </row>
    <row r="1779" spans="1:10" x14ac:dyDescent="0.3">
      <c r="A1779" t="s">
        <v>194</v>
      </c>
      <c r="B1779" t="s">
        <v>5</v>
      </c>
      <c r="C1779" t="s">
        <v>193</v>
      </c>
      <c r="D1779" t="s">
        <v>72</v>
      </c>
      <c r="E1779">
        <v>86</v>
      </c>
      <c r="F1779">
        <v>119</v>
      </c>
      <c r="G1779" s="1">
        <v>290600</v>
      </c>
      <c r="H1779" s="1">
        <v>290600</v>
      </c>
      <c r="I1779" s="1">
        <v>830100</v>
      </c>
      <c r="J1779" s="1">
        <v>2857</v>
      </c>
    </row>
    <row r="1780" spans="1:10" x14ac:dyDescent="0.3">
      <c r="A1780" t="s">
        <v>194</v>
      </c>
      <c r="B1780" t="s">
        <v>4</v>
      </c>
      <c r="C1780" t="s">
        <v>193</v>
      </c>
      <c r="D1780" t="s">
        <v>72</v>
      </c>
      <c r="E1780">
        <v>86</v>
      </c>
      <c r="F1780">
        <v>119</v>
      </c>
      <c r="G1780" s="1">
        <v>275300</v>
      </c>
      <c r="H1780" s="1">
        <v>266000</v>
      </c>
      <c r="I1780" s="1">
        <v>616620</v>
      </c>
      <c r="J1780" s="1">
        <v>2318</v>
      </c>
    </row>
    <row r="1781" spans="1:10" x14ac:dyDescent="0.3">
      <c r="A1781" t="s">
        <v>194</v>
      </c>
      <c r="B1781" t="s">
        <v>3</v>
      </c>
      <c r="C1781" t="s">
        <v>193</v>
      </c>
      <c r="D1781" t="s">
        <v>72</v>
      </c>
      <c r="E1781">
        <v>86</v>
      </c>
      <c r="F1781">
        <v>119</v>
      </c>
      <c r="G1781" s="1">
        <v>355400</v>
      </c>
      <c r="H1781" s="1">
        <v>273600</v>
      </c>
      <c r="I1781" s="1">
        <v>310223</v>
      </c>
      <c r="J1781" s="1">
        <v>1134</v>
      </c>
    </row>
    <row r="1782" spans="1:10" x14ac:dyDescent="0.3">
      <c r="A1782" t="s">
        <v>194</v>
      </c>
      <c r="B1782" t="s">
        <v>7</v>
      </c>
      <c r="C1782" t="s">
        <v>193</v>
      </c>
      <c r="D1782" t="s">
        <v>46</v>
      </c>
      <c r="E1782">
        <v>86</v>
      </c>
      <c r="F1782">
        <v>126</v>
      </c>
      <c r="G1782" s="1">
        <v>3500</v>
      </c>
      <c r="H1782" s="1">
        <v>3500</v>
      </c>
      <c r="I1782" s="1">
        <v>8750</v>
      </c>
      <c r="J1782" s="1">
        <v>2500</v>
      </c>
    </row>
    <row r="1783" spans="1:10" x14ac:dyDescent="0.3">
      <c r="A1783" t="s">
        <v>194</v>
      </c>
      <c r="B1783" t="s">
        <v>5</v>
      </c>
      <c r="C1783" t="s">
        <v>193</v>
      </c>
      <c r="D1783" t="s">
        <v>46</v>
      </c>
      <c r="E1783">
        <v>86</v>
      </c>
      <c r="F1783">
        <v>126</v>
      </c>
      <c r="G1783" s="1">
        <v>6500</v>
      </c>
      <c r="H1783" s="1">
        <v>6500</v>
      </c>
      <c r="I1783" s="1">
        <v>9750</v>
      </c>
      <c r="J1783" s="1">
        <v>1500</v>
      </c>
    </row>
    <row r="1784" spans="1:10" x14ac:dyDescent="0.3">
      <c r="A1784" t="s">
        <v>194</v>
      </c>
      <c r="B1784" t="s">
        <v>4</v>
      </c>
      <c r="C1784" t="s">
        <v>193</v>
      </c>
      <c r="D1784" t="s">
        <v>46</v>
      </c>
      <c r="E1784">
        <v>86</v>
      </c>
      <c r="F1784">
        <v>126</v>
      </c>
      <c r="G1784" s="1">
        <v>6500</v>
      </c>
      <c r="H1784" s="1">
        <v>6495</v>
      </c>
      <c r="I1784" s="1">
        <v>22733</v>
      </c>
      <c r="J1784" s="1">
        <v>3500</v>
      </c>
    </row>
    <row r="1785" spans="1:10" x14ac:dyDescent="0.3">
      <c r="A1785" t="s">
        <v>194</v>
      </c>
      <c r="B1785" t="s">
        <v>3</v>
      </c>
      <c r="C1785" t="s">
        <v>193</v>
      </c>
      <c r="D1785" t="s">
        <v>46</v>
      </c>
      <c r="E1785">
        <v>86</v>
      </c>
      <c r="F1785">
        <v>126</v>
      </c>
      <c r="G1785" s="1">
        <v>7150</v>
      </c>
      <c r="H1785" s="1">
        <v>7050</v>
      </c>
      <c r="I1785" s="1">
        <v>17625</v>
      </c>
      <c r="J1785" s="1">
        <v>2500</v>
      </c>
    </row>
    <row r="1786" spans="1:10" x14ac:dyDescent="0.3">
      <c r="A1786" t="s">
        <v>194</v>
      </c>
      <c r="B1786" t="s">
        <v>18</v>
      </c>
      <c r="C1786" t="s">
        <v>193</v>
      </c>
      <c r="D1786" t="s">
        <v>68</v>
      </c>
      <c r="E1786">
        <v>86</v>
      </c>
      <c r="F1786">
        <v>133</v>
      </c>
      <c r="G1786" s="1">
        <v>38000</v>
      </c>
      <c r="H1786" s="1">
        <v>37200</v>
      </c>
      <c r="I1786" s="1">
        <v>89280</v>
      </c>
      <c r="J1786" s="1">
        <v>2400</v>
      </c>
    </row>
    <row r="1787" spans="1:10" x14ac:dyDescent="0.3">
      <c r="A1787" t="s">
        <v>194</v>
      </c>
      <c r="B1787" t="s">
        <v>17</v>
      </c>
      <c r="C1787" t="s">
        <v>193</v>
      </c>
      <c r="D1787" t="s">
        <v>68</v>
      </c>
      <c r="E1787">
        <v>86</v>
      </c>
      <c r="F1787">
        <v>133</v>
      </c>
      <c r="G1787" s="1">
        <v>41407</v>
      </c>
      <c r="H1787" s="1">
        <v>41407</v>
      </c>
      <c r="I1787" s="1">
        <v>120080</v>
      </c>
      <c r="J1787" s="1">
        <v>2900</v>
      </c>
    </row>
    <row r="1788" spans="1:10" x14ac:dyDescent="0.3">
      <c r="A1788" t="s">
        <v>194</v>
      </c>
      <c r="B1788" t="s">
        <v>14</v>
      </c>
      <c r="C1788" t="s">
        <v>193</v>
      </c>
      <c r="D1788" t="s">
        <v>68</v>
      </c>
      <c r="E1788">
        <v>86</v>
      </c>
      <c r="F1788">
        <v>133</v>
      </c>
      <c r="G1788" s="1">
        <v>35000</v>
      </c>
      <c r="H1788" s="1">
        <v>35000</v>
      </c>
      <c r="I1788" s="1">
        <v>122500</v>
      </c>
      <c r="J1788" s="1">
        <v>3500</v>
      </c>
    </row>
    <row r="1789" spans="1:10" x14ac:dyDescent="0.3">
      <c r="A1789" t="s">
        <v>194</v>
      </c>
      <c r="B1789" t="s">
        <v>12</v>
      </c>
      <c r="C1789" t="s">
        <v>193</v>
      </c>
      <c r="D1789" t="s">
        <v>68</v>
      </c>
      <c r="E1789">
        <v>86</v>
      </c>
      <c r="F1789">
        <v>133</v>
      </c>
      <c r="G1789" s="1">
        <v>35000</v>
      </c>
      <c r="H1789" s="1">
        <v>35000</v>
      </c>
      <c r="I1789" s="1">
        <v>105000</v>
      </c>
      <c r="J1789" s="1">
        <v>3000</v>
      </c>
    </row>
    <row r="1790" spans="1:10" x14ac:dyDescent="0.3">
      <c r="A1790" t="s">
        <v>194</v>
      </c>
      <c r="B1790" t="s">
        <v>9</v>
      </c>
      <c r="C1790" t="s">
        <v>193</v>
      </c>
      <c r="D1790" t="s">
        <v>68</v>
      </c>
      <c r="E1790">
        <v>86</v>
      </c>
      <c r="F1790">
        <v>133</v>
      </c>
      <c r="G1790" s="1">
        <v>49500</v>
      </c>
      <c r="H1790" s="1">
        <v>49500</v>
      </c>
      <c r="I1790" s="1">
        <v>173250</v>
      </c>
      <c r="J1790" s="1">
        <v>3500</v>
      </c>
    </row>
    <row r="1791" spans="1:10" x14ac:dyDescent="0.3">
      <c r="A1791" t="s">
        <v>194</v>
      </c>
      <c r="B1791" t="s">
        <v>8</v>
      </c>
      <c r="C1791" t="s">
        <v>193</v>
      </c>
      <c r="D1791" t="s">
        <v>68</v>
      </c>
      <c r="E1791">
        <v>86</v>
      </c>
      <c r="F1791">
        <v>133</v>
      </c>
      <c r="G1791" s="1">
        <v>58100</v>
      </c>
      <c r="H1791" s="1">
        <v>58100</v>
      </c>
      <c r="I1791" s="1">
        <v>174300</v>
      </c>
      <c r="J1791" s="1">
        <v>3000</v>
      </c>
    </row>
    <row r="1792" spans="1:10" x14ac:dyDescent="0.3">
      <c r="A1792" t="s">
        <v>194</v>
      </c>
      <c r="B1792" t="s">
        <v>7</v>
      </c>
      <c r="C1792" t="s">
        <v>193</v>
      </c>
      <c r="D1792" t="s">
        <v>68</v>
      </c>
      <c r="E1792">
        <v>86</v>
      </c>
      <c r="F1792">
        <v>133</v>
      </c>
      <c r="G1792" s="1">
        <v>58100</v>
      </c>
      <c r="H1792" s="1">
        <v>58100</v>
      </c>
      <c r="I1792" s="1">
        <v>174300</v>
      </c>
      <c r="J1792" s="1">
        <v>3000</v>
      </c>
    </row>
    <row r="1793" spans="1:10" x14ac:dyDescent="0.3">
      <c r="A1793" t="s">
        <v>194</v>
      </c>
      <c r="B1793" t="s">
        <v>6</v>
      </c>
      <c r="C1793" t="s">
        <v>193</v>
      </c>
      <c r="D1793" t="s">
        <v>68</v>
      </c>
      <c r="E1793">
        <v>86</v>
      </c>
      <c r="F1793">
        <v>133</v>
      </c>
      <c r="G1793" s="1">
        <v>61500</v>
      </c>
      <c r="H1793" s="1">
        <v>61500</v>
      </c>
      <c r="I1793" s="1">
        <v>153750</v>
      </c>
      <c r="J1793" s="1">
        <v>2500</v>
      </c>
    </row>
    <row r="1794" spans="1:10" x14ac:dyDescent="0.3">
      <c r="A1794" t="s">
        <v>194</v>
      </c>
      <c r="B1794" t="s">
        <v>5</v>
      </c>
      <c r="C1794" t="s">
        <v>193</v>
      </c>
      <c r="D1794" t="s">
        <v>68</v>
      </c>
      <c r="E1794">
        <v>86</v>
      </c>
      <c r="F1794">
        <v>133</v>
      </c>
      <c r="G1794" s="1">
        <v>61500</v>
      </c>
      <c r="H1794" s="1">
        <v>61500</v>
      </c>
      <c r="I1794" s="1">
        <v>100200</v>
      </c>
      <c r="J1794" s="1">
        <v>1629</v>
      </c>
    </row>
    <row r="1795" spans="1:10" x14ac:dyDescent="0.3">
      <c r="A1795" t="s">
        <v>194</v>
      </c>
      <c r="B1795" t="s">
        <v>4</v>
      </c>
      <c r="C1795" t="s">
        <v>193</v>
      </c>
      <c r="D1795" t="s">
        <v>68</v>
      </c>
      <c r="E1795">
        <v>86</v>
      </c>
      <c r="F1795">
        <v>133</v>
      </c>
      <c r="G1795" s="1">
        <v>61500</v>
      </c>
      <c r="H1795" s="1">
        <v>61446</v>
      </c>
      <c r="I1795" s="1">
        <v>239639</v>
      </c>
      <c r="J1795" s="1">
        <v>3900</v>
      </c>
    </row>
    <row r="1796" spans="1:10" x14ac:dyDescent="0.3">
      <c r="A1796" t="s">
        <v>194</v>
      </c>
      <c r="B1796" t="s">
        <v>3</v>
      </c>
      <c r="C1796" t="s">
        <v>193</v>
      </c>
      <c r="D1796" t="s">
        <v>68</v>
      </c>
      <c r="E1796">
        <v>86</v>
      </c>
      <c r="F1796">
        <v>133</v>
      </c>
      <c r="G1796" s="1">
        <v>67650</v>
      </c>
      <c r="H1796" s="1">
        <v>67340</v>
      </c>
      <c r="I1796" s="1">
        <v>188308</v>
      </c>
      <c r="J1796" s="1">
        <v>2796</v>
      </c>
    </row>
    <row r="1797" spans="1:10" x14ac:dyDescent="0.3">
      <c r="A1797" t="s">
        <v>194</v>
      </c>
      <c r="B1797" t="s">
        <v>7</v>
      </c>
      <c r="C1797" t="s">
        <v>193</v>
      </c>
      <c r="D1797" t="s">
        <v>29</v>
      </c>
      <c r="E1797">
        <v>86</v>
      </c>
      <c r="F1797">
        <v>140</v>
      </c>
      <c r="G1797" s="1">
        <v>3200</v>
      </c>
      <c r="H1797" s="1">
        <v>3200</v>
      </c>
      <c r="I1797" s="1">
        <v>8960</v>
      </c>
      <c r="J1797" s="1">
        <v>2800</v>
      </c>
    </row>
    <row r="1798" spans="1:10" x14ac:dyDescent="0.3">
      <c r="A1798" t="s">
        <v>194</v>
      </c>
      <c r="B1798" t="s">
        <v>5</v>
      </c>
      <c r="C1798" t="s">
        <v>193</v>
      </c>
      <c r="D1798" t="s">
        <v>29</v>
      </c>
      <c r="E1798">
        <v>86</v>
      </c>
      <c r="F1798">
        <v>140</v>
      </c>
      <c r="G1798" s="1">
        <v>2500</v>
      </c>
      <c r="H1798" s="1">
        <v>2500</v>
      </c>
      <c r="I1798" s="1">
        <v>3750</v>
      </c>
      <c r="J1798" s="1">
        <v>1500</v>
      </c>
    </row>
    <row r="1799" spans="1:10" x14ac:dyDescent="0.3">
      <c r="A1799" t="s">
        <v>194</v>
      </c>
      <c r="B1799" t="s">
        <v>4</v>
      </c>
      <c r="C1799" t="s">
        <v>193</v>
      </c>
      <c r="D1799" t="s">
        <v>29</v>
      </c>
      <c r="E1799">
        <v>86</v>
      </c>
      <c r="F1799">
        <v>140</v>
      </c>
      <c r="G1799" s="1">
        <v>2500</v>
      </c>
      <c r="H1799" s="1">
        <v>2497</v>
      </c>
      <c r="I1799" s="1">
        <v>8740</v>
      </c>
      <c r="J1799" s="1">
        <v>3500</v>
      </c>
    </row>
    <row r="1800" spans="1:10" x14ac:dyDescent="0.3">
      <c r="A1800" t="s">
        <v>194</v>
      </c>
      <c r="B1800" t="s">
        <v>3</v>
      </c>
      <c r="C1800" t="s">
        <v>193</v>
      </c>
      <c r="D1800" t="s">
        <v>29</v>
      </c>
      <c r="E1800">
        <v>86</v>
      </c>
      <c r="F1800">
        <v>140</v>
      </c>
      <c r="G1800" s="1">
        <v>2750</v>
      </c>
      <c r="H1800" s="1">
        <v>2698</v>
      </c>
      <c r="I1800" s="1">
        <v>6745</v>
      </c>
      <c r="J1800" s="1">
        <v>2500</v>
      </c>
    </row>
    <row r="1801" spans="1:10" x14ac:dyDescent="0.3">
      <c r="A1801" t="s">
        <v>194</v>
      </c>
      <c r="B1801" t="s">
        <v>18</v>
      </c>
      <c r="C1801" t="s">
        <v>193</v>
      </c>
      <c r="D1801" t="s">
        <v>65</v>
      </c>
      <c r="E1801">
        <v>86</v>
      </c>
      <c r="F1801">
        <v>147</v>
      </c>
      <c r="G1801" s="1">
        <v>6000</v>
      </c>
      <c r="H1801" s="1">
        <v>6000</v>
      </c>
      <c r="I1801" s="1">
        <v>12000</v>
      </c>
      <c r="J1801" s="1">
        <v>2000</v>
      </c>
    </row>
    <row r="1802" spans="1:10" x14ac:dyDescent="0.3">
      <c r="A1802" t="s">
        <v>194</v>
      </c>
      <c r="B1802" t="s">
        <v>17</v>
      </c>
      <c r="C1802" t="s">
        <v>193</v>
      </c>
      <c r="D1802" t="s">
        <v>65</v>
      </c>
      <c r="E1802">
        <v>86</v>
      </c>
      <c r="F1802">
        <v>147</v>
      </c>
      <c r="G1802" s="1">
        <v>15750</v>
      </c>
      <c r="H1802" s="1">
        <v>15750</v>
      </c>
      <c r="I1802" s="1">
        <v>37800</v>
      </c>
      <c r="J1802" s="1">
        <v>2400</v>
      </c>
    </row>
    <row r="1803" spans="1:10" x14ac:dyDescent="0.3">
      <c r="A1803" t="s">
        <v>194</v>
      </c>
      <c r="B1803" t="s">
        <v>14</v>
      </c>
      <c r="C1803" t="s">
        <v>193</v>
      </c>
      <c r="D1803" t="s">
        <v>65</v>
      </c>
      <c r="E1803">
        <v>86</v>
      </c>
      <c r="F1803">
        <v>147</v>
      </c>
      <c r="G1803" s="1">
        <v>10000</v>
      </c>
      <c r="H1803" s="1">
        <v>10000</v>
      </c>
      <c r="I1803" s="1">
        <v>35000</v>
      </c>
      <c r="J1803" s="1">
        <v>3500</v>
      </c>
    </row>
    <row r="1804" spans="1:10" x14ac:dyDescent="0.3">
      <c r="A1804" t="s">
        <v>194</v>
      </c>
      <c r="B1804" t="s">
        <v>12</v>
      </c>
      <c r="C1804" t="s">
        <v>193</v>
      </c>
      <c r="D1804" t="s">
        <v>65</v>
      </c>
      <c r="E1804">
        <v>86</v>
      </c>
      <c r="F1804">
        <v>147</v>
      </c>
      <c r="G1804" s="1">
        <v>12000</v>
      </c>
      <c r="H1804" s="1">
        <v>12000</v>
      </c>
      <c r="I1804" s="1">
        <v>36000</v>
      </c>
      <c r="J1804" s="1">
        <v>3000</v>
      </c>
    </row>
    <row r="1805" spans="1:10" x14ac:dyDescent="0.3">
      <c r="A1805" t="s">
        <v>194</v>
      </c>
      <c r="B1805" t="s">
        <v>9</v>
      </c>
      <c r="C1805" t="s">
        <v>193</v>
      </c>
      <c r="D1805" t="s">
        <v>65</v>
      </c>
      <c r="E1805">
        <v>86</v>
      </c>
      <c r="F1805">
        <v>147</v>
      </c>
      <c r="G1805" s="1">
        <v>14700</v>
      </c>
      <c r="H1805" s="1">
        <v>14700</v>
      </c>
      <c r="I1805" s="1">
        <v>51450</v>
      </c>
      <c r="J1805" s="1">
        <v>3500</v>
      </c>
    </row>
    <row r="1806" spans="1:10" x14ac:dyDescent="0.3">
      <c r="A1806" t="s">
        <v>194</v>
      </c>
      <c r="B1806" t="s">
        <v>8</v>
      </c>
      <c r="C1806" t="s">
        <v>193</v>
      </c>
      <c r="D1806" t="s">
        <v>65</v>
      </c>
      <c r="E1806">
        <v>86</v>
      </c>
      <c r="F1806">
        <v>147</v>
      </c>
      <c r="G1806" s="1">
        <v>15000</v>
      </c>
      <c r="H1806" s="1">
        <v>15000</v>
      </c>
      <c r="I1806" s="1">
        <v>45000</v>
      </c>
      <c r="J1806" s="1">
        <v>3000</v>
      </c>
    </row>
    <row r="1807" spans="1:10" x14ac:dyDescent="0.3">
      <c r="A1807" t="s">
        <v>194</v>
      </c>
      <c r="B1807" t="s">
        <v>7</v>
      </c>
      <c r="C1807" t="s">
        <v>193</v>
      </c>
      <c r="D1807" t="s">
        <v>65</v>
      </c>
      <c r="E1807">
        <v>86</v>
      </c>
      <c r="F1807">
        <v>147</v>
      </c>
      <c r="G1807" s="1">
        <v>15000</v>
      </c>
      <c r="H1807" s="1">
        <v>15000</v>
      </c>
      <c r="I1807" s="1">
        <v>45000</v>
      </c>
      <c r="J1807" s="1">
        <v>3000</v>
      </c>
    </row>
    <row r="1808" spans="1:10" x14ac:dyDescent="0.3">
      <c r="A1808" t="s">
        <v>194</v>
      </c>
      <c r="B1808" t="s">
        <v>6</v>
      </c>
      <c r="C1808" t="s">
        <v>193</v>
      </c>
      <c r="D1808" t="s">
        <v>65</v>
      </c>
      <c r="E1808">
        <v>86</v>
      </c>
      <c r="F1808">
        <v>147</v>
      </c>
      <c r="G1808" s="1">
        <v>15500</v>
      </c>
      <c r="H1808" s="1">
        <v>15500</v>
      </c>
      <c r="I1808" s="1">
        <v>38750</v>
      </c>
      <c r="J1808" s="1">
        <v>2500</v>
      </c>
    </row>
    <row r="1809" spans="1:10" x14ac:dyDescent="0.3">
      <c r="A1809" t="s">
        <v>194</v>
      </c>
      <c r="B1809" t="s">
        <v>5</v>
      </c>
      <c r="C1809" t="s">
        <v>193</v>
      </c>
      <c r="D1809" t="s">
        <v>65</v>
      </c>
      <c r="E1809">
        <v>86</v>
      </c>
      <c r="F1809">
        <v>147</v>
      </c>
      <c r="G1809" s="1">
        <v>15500</v>
      </c>
      <c r="H1809" s="1">
        <v>15500</v>
      </c>
      <c r="I1809" s="1">
        <v>23250</v>
      </c>
      <c r="J1809" s="1">
        <v>1500</v>
      </c>
    </row>
    <row r="1810" spans="1:10" x14ac:dyDescent="0.3">
      <c r="A1810" t="s">
        <v>194</v>
      </c>
      <c r="B1810" t="s">
        <v>4</v>
      </c>
      <c r="C1810" t="s">
        <v>193</v>
      </c>
      <c r="D1810" t="s">
        <v>65</v>
      </c>
      <c r="E1810">
        <v>86</v>
      </c>
      <c r="F1810">
        <v>147</v>
      </c>
      <c r="G1810" s="1">
        <v>15500</v>
      </c>
      <c r="H1810" s="1">
        <v>15471</v>
      </c>
      <c r="I1810" s="1">
        <v>53710</v>
      </c>
      <c r="J1810" s="1">
        <v>3472</v>
      </c>
    </row>
    <row r="1811" spans="1:10" x14ac:dyDescent="0.3">
      <c r="A1811" t="s">
        <v>194</v>
      </c>
      <c r="B1811" t="s">
        <v>3</v>
      </c>
      <c r="C1811" t="s">
        <v>193</v>
      </c>
      <c r="D1811" t="s">
        <v>65</v>
      </c>
      <c r="E1811">
        <v>86</v>
      </c>
      <c r="F1811">
        <v>147</v>
      </c>
      <c r="G1811" s="1">
        <v>61600</v>
      </c>
      <c r="H1811" s="1">
        <v>61402</v>
      </c>
      <c r="I1811" s="1">
        <v>161035</v>
      </c>
      <c r="J1811" s="1">
        <v>2623</v>
      </c>
    </row>
    <row r="1812" spans="1:10" x14ac:dyDescent="0.3">
      <c r="A1812" t="s">
        <v>194</v>
      </c>
      <c r="B1812" t="s">
        <v>18</v>
      </c>
      <c r="C1812" t="s">
        <v>193</v>
      </c>
      <c r="D1812" t="s">
        <v>58</v>
      </c>
      <c r="E1812">
        <v>86</v>
      </c>
      <c r="F1812">
        <v>154</v>
      </c>
      <c r="G1812" s="1">
        <v>50000</v>
      </c>
      <c r="H1812" s="1">
        <v>44000</v>
      </c>
      <c r="I1812" s="1">
        <v>105600</v>
      </c>
      <c r="J1812" s="1">
        <v>2400</v>
      </c>
    </row>
    <row r="1813" spans="1:10" x14ac:dyDescent="0.3">
      <c r="A1813" t="s">
        <v>194</v>
      </c>
      <c r="B1813" t="s">
        <v>17</v>
      </c>
      <c r="C1813" t="s">
        <v>193</v>
      </c>
      <c r="D1813" t="s">
        <v>58</v>
      </c>
      <c r="E1813">
        <v>86</v>
      </c>
      <c r="F1813">
        <v>154</v>
      </c>
      <c r="G1813" s="1">
        <v>50000</v>
      </c>
      <c r="H1813" s="1">
        <v>46000</v>
      </c>
      <c r="I1813" s="1">
        <v>105800</v>
      </c>
      <c r="J1813" s="1">
        <v>2300</v>
      </c>
    </row>
    <row r="1814" spans="1:10" x14ac:dyDescent="0.3">
      <c r="A1814" t="s">
        <v>194</v>
      </c>
      <c r="B1814" t="s">
        <v>14</v>
      </c>
      <c r="C1814" t="s">
        <v>193</v>
      </c>
      <c r="D1814" t="s">
        <v>58</v>
      </c>
      <c r="E1814">
        <v>86</v>
      </c>
      <c r="F1814">
        <v>154</v>
      </c>
      <c r="G1814" s="1">
        <v>22030</v>
      </c>
      <c r="H1814" s="1">
        <v>21900</v>
      </c>
      <c r="I1814" s="1">
        <v>74460</v>
      </c>
      <c r="J1814" s="1">
        <v>3400</v>
      </c>
    </row>
    <row r="1815" spans="1:10" x14ac:dyDescent="0.3">
      <c r="A1815" t="s">
        <v>194</v>
      </c>
      <c r="B1815" t="s">
        <v>12</v>
      </c>
      <c r="C1815" t="s">
        <v>193</v>
      </c>
      <c r="D1815" t="s">
        <v>58</v>
      </c>
      <c r="E1815">
        <v>86</v>
      </c>
      <c r="F1815">
        <v>154</v>
      </c>
      <c r="G1815" s="1">
        <v>24000</v>
      </c>
      <c r="H1815" s="1">
        <v>22380</v>
      </c>
      <c r="I1815" s="1">
        <v>35808</v>
      </c>
      <c r="J1815" s="1">
        <v>1600</v>
      </c>
    </row>
    <row r="1816" spans="1:10" x14ac:dyDescent="0.3">
      <c r="A1816" t="s">
        <v>194</v>
      </c>
      <c r="B1816" t="s">
        <v>9</v>
      </c>
      <c r="C1816" t="s">
        <v>193</v>
      </c>
      <c r="D1816" t="s">
        <v>58</v>
      </c>
      <c r="E1816">
        <v>86</v>
      </c>
      <c r="F1816">
        <v>154</v>
      </c>
      <c r="G1816" s="1">
        <v>42860</v>
      </c>
      <c r="H1816" s="1">
        <v>41820</v>
      </c>
      <c r="I1816" s="1">
        <v>126262</v>
      </c>
      <c r="J1816" s="1">
        <v>3019</v>
      </c>
    </row>
    <row r="1817" spans="1:10" x14ac:dyDescent="0.3">
      <c r="A1817" t="s">
        <v>194</v>
      </c>
      <c r="B1817" t="s">
        <v>8</v>
      </c>
      <c r="C1817" t="s">
        <v>193</v>
      </c>
      <c r="D1817" t="s">
        <v>58</v>
      </c>
      <c r="E1817">
        <v>86</v>
      </c>
      <c r="F1817">
        <v>154</v>
      </c>
      <c r="G1817" s="1">
        <v>17300</v>
      </c>
      <c r="H1817" s="1">
        <v>16680</v>
      </c>
      <c r="I1817" s="1">
        <v>52587</v>
      </c>
      <c r="J1817" s="1">
        <v>3153</v>
      </c>
    </row>
    <row r="1818" spans="1:10" x14ac:dyDescent="0.3">
      <c r="A1818" t="s">
        <v>194</v>
      </c>
      <c r="B1818" t="s">
        <v>7</v>
      </c>
      <c r="C1818" t="s">
        <v>193</v>
      </c>
      <c r="D1818" t="s">
        <v>58</v>
      </c>
      <c r="E1818">
        <v>86</v>
      </c>
      <c r="F1818">
        <v>154</v>
      </c>
      <c r="G1818" s="1">
        <v>17200</v>
      </c>
      <c r="H1818" s="1">
        <v>17200</v>
      </c>
      <c r="I1818" s="1">
        <v>59090</v>
      </c>
      <c r="J1818" s="1">
        <v>3435</v>
      </c>
    </row>
    <row r="1819" spans="1:10" x14ac:dyDescent="0.3">
      <c r="A1819" t="s">
        <v>194</v>
      </c>
      <c r="B1819" t="s">
        <v>6</v>
      </c>
      <c r="C1819" t="s">
        <v>193</v>
      </c>
      <c r="D1819" t="s">
        <v>58</v>
      </c>
      <c r="E1819">
        <v>86</v>
      </c>
      <c r="F1819">
        <v>154</v>
      </c>
      <c r="G1819" s="1">
        <v>16290</v>
      </c>
      <c r="H1819" s="1">
        <v>16290</v>
      </c>
      <c r="I1819" s="1">
        <v>52119</v>
      </c>
      <c r="J1819" s="1">
        <v>3199</v>
      </c>
    </row>
    <row r="1820" spans="1:10" x14ac:dyDescent="0.3">
      <c r="A1820" t="s">
        <v>194</v>
      </c>
      <c r="B1820" t="s">
        <v>5</v>
      </c>
      <c r="C1820" t="s">
        <v>193</v>
      </c>
      <c r="D1820" t="s">
        <v>58</v>
      </c>
      <c r="E1820">
        <v>86</v>
      </c>
      <c r="F1820">
        <v>154</v>
      </c>
      <c r="G1820" s="1">
        <v>21390</v>
      </c>
      <c r="H1820" s="1">
        <v>21390</v>
      </c>
      <c r="I1820" s="1">
        <v>56896</v>
      </c>
      <c r="J1820" s="1">
        <v>2660</v>
      </c>
    </row>
    <row r="1821" spans="1:10" x14ac:dyDescent="0.3">
      <c r="A1821" t="s">
        <v>194</v>
      </c>
      <c r="B1821" t="s">
        <v>4</v>
      </c>
      <c r="C1821" t="s">
        <v>193</v>
      </c>
      <c r="D1821" t="s">
        <v>58</v>
      </c>
      <c r="E1821">
        <v>86</v>
      </c>
      <c r="F1821">
        <v>154</v>
      </c>
      <c r="G1821" s="1">
        <v>10780</v>
      </c>
      <c r="H1821" s="1">
        <v>10690</v>
      </c>
      <c r="I1821" s="1">
        <v>27593</v>
      </c>
      <c r="J1821" s="1">
        <v>2581</v>
      </c>
    </row>
    <row r="1822" spans="1:10" x14ac:dyDescent="0.3">
      <c r="A1822" t="s">
        <v>194</v>
      </c>
      <c r="B1822" t="s">
        <v>3</v>
      </c>
      <c r="C1822" t="s">
        <v>193</v>
      </c>
      <c r="D1822" t="s">
        <v>58</v>
      </c>
      <c r="E1822">
        <v>86</v>
      </c>
      <c r="F1822">
        <v>154</v>
      </c>
      <c r="G1822" s="1">
        <v>26150</v>
      </c>
      <c r="H1822" s="1">
        <v>23790</v>
      </c>
      <c r="I1822" s="1">
        <v>63088</v>
      </c>
      <c r="J1822" s="1">
        <v>2652</v>
      </c>
    </row>
    <row r="1823" spans="1:10" x14ac:dyDescent="0.3">
      <c r="A1823" t="s">
        <v>194</v>
      </c>
      <c r="B1823" t="s">
        <v>18</v>
      </c>
      <c r="C1823" t="s">
        <v>193</v>
      </c>
      <c r="D1823" t="s">
        <v>42</v>
      </c>
      <c r="E1823">
        <v>86</v>
      </c>
      <c r="F1823">
        <v>161</v>
      </c>
      <c r="G1823" s="1">
        <v>3000</v>
      </c>
      <c r="H1823" s="1">
        <v>3000</v>
      </c>
      <c r="I1823" s="1">
        <v>7500</v>
      </c>
      <c r="J1823" s="1">
        <v>2500</v>
      </c>
    </row>
    <row r="1824" spans="1:10" x14ac:dyDescent="0.3">
      <c r="A1824" t="s">
        <v>194</v>
      </c>
      <c r="B1824" t="s">
        <v>17</v>
      </c>
      <c r="C1824" t="s">
        <v>193</v>
      </c>
      <c r="D1824" t="s">
        <v>42</v>
      </c>
      <c r="E1824">
        <v>86</v>
      </c>
      <c r="F1824">
        <v>161</v>
      </c>
      <c r="G1824" s="1">
        <v>2000</v>
      </c>
      <c r="H1824" s="1">
        <v>2000</v>
      </c>
      <c r="I1824" s="1">
        <v>5400</v>
      </c>
      <c r="J1824" s="1">
        <v>2700</v>
      </c>
    </row>
    <row r="1825" spans="1:10" x14ac:dyDescent="0.3">
      <c r="A1825" t="s">
        <v>194</v>
      </c>
      <c r="B1825" t="s">
        <v>14</v>
      </c>
      <c r="C1825" t="s">
        <v>193</v>
      </c>
      <c r="D1825" t="s">
        <v>42</v>
      </c>
      <c r="E1825">
        <v>86</v>
      </c>
      <c r="F1825">
        <v>161</v>
      </c>
      <c r="G1825" s="1">
        <v>3000</v>
      </c>
      <c r="H1825" s="1">
        <v>3000</v>
      </c>
      <c r="I1825" s="1">
        <v>10500</v>
      </c>
      <c r="J1825" s="1">
        <v>3500</v>
      </c>
    </row>
    <row r="1826" spans="1:10" x14ac:dyDescent="0.3">
      <c r="A1826" t="s">
        <v>194</v>
      </c>
      <c r="B1826" t="s">
        <v>12</v>
      </c>
      <c r="C1826" t="s">
        <v>193</v>
      </c>
      <c r="D1826" t="s">
        <v>42</v>
      </c>
      <c r="E1826">
        <v>86</v>
      </c>
      <c r="F1826">
        <v>161</v>
      </c>
      <c r="G1826" s="1">
        <v>3500</v>
      </c>
      <c r="H1826" s="1">
        <v>3500</v>
      </c>
      <c r="I1826" s="1">
        <v>10500</v>
      </c>
      <c r="J1826" s="1">
        <v>3000</v>
      </c>
    </row>
    <row r="1827" spans="1:10" x14ac:dyDescent="0.3">
      <c r="A1827" t="s">
        <v>194</v>
      </c>
      <c r="B1827" t="s">
        <v>9</v>
      </c>
      <c r="C1827" t="s">
        <v>193</v>
      </c>
      <c r="D1827" t="s">
        <v>42</v>
      </c>
      <c r="E1827">
        <v>86</v>
      </c>
      <c r="F1827">
        <v>161</v>
      </c>
      <c r="G1827" s="1">
        <v>3500</v>
      </c>
      <c r="H1827" s="1">
        <v>3500</v>
      </c>
      <c r="I1827" s="1">
        <v>12180</v>
      </c>
      <c r="J1827" s="1">
        <v>3480</v>
      </c>
    </row>
    <row r="1828" spans="1:10" x14ac:dyDescent="0.3">
      <c r="A1828" t="s">
        <v>194</v>
      </c>
      <c r="B1828" t="s">
        <v>8</v>
      </c>
      <c r="C1828" t="s">
        <v>193</v>
      </c>
      <c r="D1828" t="s">
        <v>42</v>
      </c>
      <c r="E1828">
        <v>86</v>
      </c>
      <c r="F1828">
        <v>161</v>
      </c>
      <c r="G1828" s="1">
        <v>4000</v>
      </c>
      <c r="H1828" s="1">
        <v>4000</v>
      </c>
      <c r="I1828" s="1">
        <v>12000</v>
      </c>
      <c r="J1828" s="1">
        <v>3000</v>
      </c>
    </row>
    <row r="1829" spans="1:10" x14ac:dyDescent="0.3">
      <c r="A1829" t="s">
        <v>194</v>
      </c>
      <c r="B1829" t="s">
        <v>7</v>
      </c>
      <c r="C1829" t="s">
        <v>193</v>
      </c>
      <c r="D1829" t="s">
        <v>42</v>
      </c>
      <c r="E1829">
        <v>86</v>
      </c>
      <c r="F1829">
        <v>161</v>
      </c>
      <c r="G1829" s="1">
        <v>4000</v>
      </c>
      <c r="H1829" s="1">
        <v>4000</v>
      </c>
      <c r="I1829" s="1">
        <v>12000</v>
      </c>
      <c r="J1829" s="1">
        <v>3000</v>
      </c>
    </row>
    <row r="1830" spans="1:10" x14ac:dyDescent="0.3">
      <c r="A1830" t="s">
        <v>194</v>
      </c>
      <c r="B1830" t="s">
        <v>6</v>
      </c>
      <c r="C1830" t="s">
        <v>193</v>
      </c>
      <c r="D1830" t="s">
        <v>42</v>
      </c>
      <c r="E1830">
        <v>86</v>
      </c>
      <c r="F1830">
        <v>161</v>
      </c>
      <c r="G1830" s="1">
        <v>4500</v>
      </c>
      <c r="H1830" s="1">
        <v>4500</v>
      </c>
      <c r="I1830" s="1">
        <v>11250</v>
      </c>
      <c r="J1830" s="1">
        <v>2500</v>
      </c>
    </row>
    <row r="1831" spans="1:10" x14ac:dyDescent="0.3">
      <c r="A1831" t="s">
        <v>194</v>
      </c>
      <c r="B1831" t="s">
        <v>5</v>
      </c>
      <c r="C1831" t="s">
        <v>193</v>
      </c>
      <c r="D1831" t="s">
        <v>42</v>
      </c>
      <c r="E1831">
        <v>86</v>
      </c>
      <c r="F1831">
        <v>161</v>
      </c>
      <c r="G1831" s="1">
        <v>5000</v>
      </c>
      <c r="H1831" s="1">
        <v>5000</v>
      </c>
      <c r="I1831" s="1">
        <v>7500</v>
      </c>
      <c r="J1831" s="1">
        <v>1500</v>
      </c>
    </row>
    <row r="1832" spans="1:10" x14ac:dyDescent="0.3">
      <c r="A1832" t="s">
        <v>194</v>
      </c>
      <c r="B1832" t="s">
        <v>4</v>
      </c>
      <c r="C1832" t="s">
        <v>193</v>
      </c>
      <c r="D1832" t="s">
        <v>42</v>
      </c>
      <c r="E1832">
        <v>86</v>
      </c>
      <c r="F1832">
        <v>161</v>
      </c>
      <c r="G1832" s="1">
        <v>5000</v>
      </c>
      <c r="H1832" s="1">
        <v>4993</v>
      </c>
      <c r="I1832" s="1">
        <v>17436</v>
      </c>
      <c r="J1832" s="1">
        <v>3492</v>
      </c>
    </row>
    <row r="1833" spans="1:10" x14ac:dyDescent="0.3">
      <c r="A1833" t="s">
        <v>194</v>
      </c>
      <c r="B1833" t="s">
        <v>3</v>
      </c>
      <c r="C1833" t="s">
        <v>193</v>
      </c>
      <c r="D1833" t="s">
        <v>42</v>
      </c>
      <c r="E1833">
        <v>86</v>
      </c>
      <c r="F1833">
        <v>161</v>
      </c>
      <c r="G1833" s="1">
        <v>5500</v>
      </c>
      <c r="H1833" s="1">
        <v>5335</v>
      </c>
      <c r="I1833" s="1">
        <v>15154</v>
      </c>
      <c r="J1833" s="1">
        <v>2840</v>
      </c>
    </row>
    <row r="1834" spans="1:10" x14ac:dyDescent="0.3">
      <c r="A1834" t="s">
        <v>194</v>
      </c>
      <c r="B1834" t="s">
        <v>18</v>
      </c>
      <c r="C1834" t="s">
        <v>193</v>
      </c>
      <c r="D1834" t="s">
        <v>52</v>
      </c>
      <c r="E1834">
        <v>86</v>
      </c>
      <c r="F1834">
        <v>175</v>
      </c>
      <c r="G1834" s="1">
        <v>2000</v>
      </c>
      <c r="H1834" s="1">
        <v>2000</v>
      </c>
      <c r="I1834" s="1">
        <v>5000</v>
      </c>
      <c r="J1834" s="1">
        <v>2500</v>
      </c>
    </row>
    <row r="1835" spans="1:10" x14ac:dyDescent="0.3">
      <c r="A1835" t="s">
        <v>194</v>
      </c>
      <c r="B1835" t="s">
        <v>17</v>
      </c>
      <c r="C1835" t="s">
        <v>193</v>
      </c>
      <c r="D1835" t="s">
        <v>52</v>
      </c>
      <c r="E1835">
        <v>86</v>
      </c>
      <c r="F1835">
        <v>175</v>
      </c>
      <c r="G1835" s="1">
        <v>1500</v>
      </c>
      <c r="H1835" s="1">
        <v>1500</v>
      </c>
      <c r="I1835" s="1">
        <v>3600</v>
      </c>
      <c r="J1835" s="1">
        <v>2400</v>
      </c>
    </row>
    <row r="1836" spans="1:10" x14ac:dyDescent="0.3">
      <c r="A1836" t="s">
        <v>194</v>
      </c>
      <c r="B1836" t="s">
        <v>14</v>
      </c>
      <c r="C1836" t="s">
        <v>193</v>
      </c>
      <c r="D1836" t="s">
        <v>52</v>
      </c>
      <c r="E1836">
        <v>86</v>
      </c>
      <c r="F1836">
        <v>175</v>
      </c>
      <c r="G1836" s="1">
        <v>2500</v>
      </c>
      <c r="H1836" s="1">
        <v>2500</v>
      </c>
      <c r="I1836" s="1">
        <v>7000</v>
      </c>
      <c r="J1836" s="1">
        <v>2800</v>
      </c>
    </row>
    <row r="1837" spans="1:10" x14ac:dyDescent="0.3">
      <c r="A1837" t="s">
        <v>194</v>
      </c>
      <c r="B1837" t="s">
        <v>12</v>
      </c>
      <c r="C1837" t="s">
        <v>193</v>
      </c>
      <c r="D1837" t="s">
        <v>52</v>
      </c>
      <c r="E1837">
        <v>86</v>
      </c>
      <c r="F1837">
        <v>175</v>
      </c>
      <c r="G1837" s="1">
        <v>2500</v>
      </c>
      <c r="H1837" s="1">
        <v>2500</v>
      </c>
      <c r="I1837" s="1">
        <v>5000</v>
      </c>
      <c r="J1837" s="1">
        <v>2000</v>
      </c>
    </row>
    <row r="1838" spans="1:10" x14ac:dyDescent="0.3">
      <c r="A1838" t="s">
        <v>194</v>
      </c>
      <c r="B1838" t="s">
        <v>9</v>
      </c>
      <c r="C1838" t="s">
        <v>193</v>
      </c>
      <c r="D1838" t="s">
        <v>52</v>
      </c>
      <c r="E1838">
        <v>86</v>
      </c>
      <c r="F1838">
        <v>175</v>
      </c>
      <c r="G1838" s="1">
        <v>2000</v>
      </c>
      <c r="H1838" s="1">
        <v>2000</v>
      </c>
      <c r="I1838" s="1">
        <v>5800</v>
      </c>
      <c r="J1838" s="1">
        <v>2900</v>
      </c>
    </row>
    <row r="1839" spans="1:10" x14ac:dyDescent="0.3">
      <c r="A1839" t="s">
        <v>194</v>
      </c>
      <c r="B1839" t="s">
        <v>8</v>
      </c>
      <c r="C1839" t="s">
        <v>193</v>
      </c>
      <c r="D1839" t="s">
        <v>52</v>
      </c>
      <c r="E1839">
        <v>86</v>
      </c>
      <c r="F1839">
        <v>175</v>
      </c>
      <c r="G1839" s="1">
        <v>2000</v>
      </c>
      <c r="H1839" s="1">
        <v>2000</v>
      </c>
      <c r="I1839" s="1">
        <v>6000</v>
      </c>
      <c r="J1839" s="1">
        <v>3000</v>
      </c>
    </row>
    <row r="1840" spans="1:10" x14ac:dyDescent="0.3">
      <c r="A1840" t="s">
        <v>194</v>
      </c>
      <c r="B1840" t="s">
        <v>7</v>
      </c>
      <c r="C1840" t="s">
        <v>193</v>
      </c>
      <c r="D1840" t="s">
        <v>52</v>
      </c>
      <c r="E1840">
        <v>86</v>
      </c>
      <c r="F1840">
        <v>175</v>
      </c>
      <c r="G1840" s="1">
        <v>2500</v>
      </c>
      <c r="H1840" s="1">
        <v>2500</v>
      </c>
      <c r="I1840" s="1">
        <v>7500</v>
      </c>
      <c r="J1840" s="1">
        <v>3000</v>
      </c>
    </row>
    <row r="1841" spans="1:10" x14ac:dyDescent="0.3">
      <c r="A1841" t="s">
        <v>194</v>
      </c>
      <c r="B1841" t="s">
        <v>6</v>
      </c>
      <c r="C1841" t="s">
        <v>193</v>
      </c>
      <c r="D1841" t="s">
        <v>52</v>
      </c>
      <c r="E1841">
        <v>86</v>
      </c>
      <c r="F1841">
        <v>175</v>
      </c>
      <c r="G1841" s="1">
        <v>6000</v>
      </c>
      <c r="H1841" s="1">
        <v>6000</v>
      </c>
      <c r="I1841" s="1">
        <v>15000</v>
      </c>
      <c r="J1841" s="1">
        <v>2500</v>
      </c>
    </row>
    <row r="1842" spans="1:10" x14ac:dyDescent="0.3">
      <c r="A1842" t="s">
        <v>194</v>
      </c>
      <c r="B1842" t="s">
        <v>5</v>
      </c>
      <c r="C1842" t="s">
        <v>193</v>
      </c>
      <c r="D1842" t="s">
        <v>52</v>
      </c>
      <c r="E1842">
        <v>86</v>
      </c>
      <c r="F1842">
        <v>175</v>
      </c>
      <c r="G1842" s="1">
        <v>8000</v>
      </c>
      <c r="H1842" s="1">
        <v>8000</v>
      </c>
      <c r="I1842" s="1">
        <v>12000</v>
      </c>
      <c r="J1842" s="1">
        <v>1500</v>
      </c>
    </row>
    <row r="1843" spans="1:10" x14ac:dyDescent="0.3">
      <c r="A1843" t="s">
        <v>194</v>
      </c>
      <c r="B1843" t="s">
        <v>4</v>
      </c>
      <c r="C1843" t="s">
        <v>193</v>
      </c>
      <c r="D1843" t="s">
        <v>52</v>
      </c>
      <c r="E1843">
        <v>86</v>
      </c>
      <c r="F1843">
        <v>175</v>
      </c>
      <c r="G1843" s="1">
        <v>8000</v>
      </c>
      <c r="H1843" s="1">
        <v>7991</v>
      </c>
      <c r="I1843" s="1">
        <v>27729</v>
      </c>
      <c r="J1843" s="1">
        <v>3470</v>
      </c>
    </row>
    <row r="1844" spans="1:10" x14ac:dyDescent="0.3">
      <c r="A1844" t="s">
        <v>194</v>
      </c>
      <c r="B1844" t="s">
        <v>3</v>
      </c>
      <c r="C1844" t="s">
        <v>193</v>
      </c>
      <c r="D1844" t="s">
        <v>52</v>
      </c>
      <c r="E1844">
        <v>86</v>
      </c>
      <c r="F1844">
        <v>175</v>
      </c>
      <c r="G1844" s="1">
        <v>8800</v>
      </c>
      <c r="H1844" s="1">
        <v>8600</v>
      </c>
      <c r="I1844" s="1">
        <v>22145</v>
      </c>
      <c r="J1844" s="1">
        <v>2575</v>
      </c>
    </row>
    <row r="1845" spans="1:10" x14ac:dyDescent="0.3">
      <c r="A1845" t="s">
        <v>194</v>
      </c>
      <c r="B1845" t="s">
        <v>17</v>
      </c>
      <c r="C1845" t="s">
        <v>193</v>
      </c>
      <c r="D1845" t="s">
        <v>25</v>
      </c>
      <c r="E1845">
        <v>86</v>
      </c>
      <c r="F1845">
        <v>182</v>
      </c>
      <c r="G1845" s="1">
        <v>3000</v>
      </c>
      <c r="H1845" s="1">
        <v>3000</v>
      </c>
      <c r="I1845" s="1">
        <v>8700</v>
      </c>
      <c r="J1845" s="1">
        <v>2900</v>
      </c>
    </row>
    <row r="1846" spans="1:10" x14ac:dyDescent="0.3">
      <c r="A1846" t="s">
        <v>194</v>
      </c>
      <c r="B1846" t="s">
        <v>12</v>
      </c>
      <c r="C1846" t="s">
        <v>193</v>
      </c>
      <c r="D1846" t="s">
        <v>25</v>
      </c>
      <c r="E1846">
        <v>86</v>
      </c>
      <c r="F1846">
        <v>182</v>
      </c>
      <c r="G1846" s="1">
        <v>500</v>
      </c>
      <c r="H1846" s="1">
        <v>500</v>
      </c>
      <c r="I1846" s="1">
        <v>550</v>
      </c>
      <c r="J1846" s="1">
        <v>1100</v>
      </c>
    </row>
    <row r="1847" spans="1:10" x14ac:dyDescent="0.3">
      <c r="A1847" t="s">
        <v>194</v>
      </c>
      <c r="B1847" t="s">
        <v>9</v>
      </c>
      <c r="C1847" t="s">
        <v>193</v>
      </c>
      <c r="D1847" t="s">
        <v>25</v>
      </c>
      <c r="E1847">
        <v>86</v>
      </c>
      <c r="F1847">
        <v>182</v>
      </c>
      <c r="G1847" s="1">
        <v>550</v>
      </c>
      <c r="H1847" s="1">
        <v>550</v>
      </c>
      <c r="I1847" s="1">
        <v>1760</v>
      </c>
      <c r="J1847" s="1">
        <v>3200</v>
      </c>
    </row>
    <row r="1848" spans="1:10" x14ac:dyDescent="0.3">
      <c r="A1848" t="s">
        <v>194</v>
      </c>
      <c r="B1848" t="s">
        <v>8</v>
      </c>
      <c r="C1848" t="s">
        <v>193</v>
      </c>
      <c r="D1848" t="s">
        <v>25</v>
      </c>
      <c r="E1848">
        <v>86</v>
      </c>
      <c r="F1848">
        <v>182</v>
      </c>
      <c r="G1848" s="1">
        <v>800</v>
      </c>
      <c r="H1848" s="1">
        <v>620</v>
      </c>
      <c r="I1848" s="1">
        <v>1984</v>
      </c>
      <c r="J1848" s="1">
        <v>3200</v>
      </c>
    </row>
    <row r="1849" spans="1:10" x14ac:dyDescent="0.3">
      <c r="A1849" t="s">
        <v>194</v>
      </c>
      <c r="B1849" t="s">
        <v>7</v>
      </c>
      <c r="C1849" t="s">
        <v>193</v>
      </c>
      <c r="D1849" t="s">
        <v>25</v>
      </c>
      <c r="E1849">
        <v>86</v>
      </c>
      <c r="F1849">
        <v>182</v>
      </c>
      <c r="G1849" s="1">
        <v>800</v>
      </c>
      <c r="H1849" s="1">
        <v>800</v>
      </c>
      <c r="I1849" s="1">
        <v>2400</v>
      </c>
      <c r="J1849" s="1">
        <v>3000</v>
      </c>
    </row>
    <row r="1850" spans="1:10" x14ac:dyDescent="0.3">
      <c r="A1850" t="s">
        <v>194</v>
      </c>
      <c r="B1850" t="s">
        <v>6</v>
      </c>
      <c r="C1850" t="s">
        <v>193</v>
      </c>
      <c r="D1850" t="s">
        <v>25</v>
      </c>
      <c r="E1850">
        <v>86</v>
      </c>
      <c r="F1850">
        <v>182</v>
      </c>
      <c r="G1850" s="1">
        <v>800</v>
      </c>
      <c r="H1850" s="1">
        <v>800</v>
      </c>
      <c r="I1850" s="1">
        <v>2240</v>
      </c>
      <c r="J1850" s="1">
        <v>2800</v>
      </c>
    </row>
    <row r="1851" spans="1:10" x14ac:dyDescent="0.3">
      <c r="A1851" t="s">
        <v>194</v>
      </c>
      <c r="B1851" t="s">
        <v>5</v>
      </c>
      <c r="C1851" t="s">
        <v>193</v>
      </c>
      <c r="D1851" t="s">
        <v>25</v>
      </c>
      <c r="E1851">
        <v>86</v>
      </c>
      <c r="F1851">
        <v>182</v>
      </c>
      <c r="G1851" s="1">
        <v>800</v>
      </c>
      <c r="H1851" s="1">
        <v>800</v>
      </c>
      <c r="I1851" s="1">
        <v>2160</v>
      </c>
      <c r="J1851" s="1">
        <v>2700</v>
      </c>
    </row>
    <row r="1852" spans="1:10" x14ac:dyDescent="0.3">
      <c r="A1852" t="s">
        <v>194</v>
      </c>
      <c r="B1852" t="s">
        <v>4</v>
      </c>
      <c r="C1852" t="s">
        <v>193</v>
      </c>
      <c r="D1852" t="s">
        <v>25</v>
      </c>
      <c r="E1852">
        <v>86</v>
      </c>
      <c r="F1852">
        <v>182</v>
      </c>
      <c r="G1852" s="1">
        <v>900</v>
      </c>
      <c r="H1852" s="1">
        <v>830</v>
      </c>
      <c r="I1852" s="1">
        <v>2075</v>
      </c>
      <c r="J1852" s="1">
        <v>2500</v>
      </c>
    </row>
    <row r="1853" spans="1:10" x14ac:dyDescent="0.3">
      <c r="A1853" t="s">
        <v>194</v>
      </c>
      <c r="B1853" t="s">
        <v>3</v>
      </c>
      <c r="C1853" t="s">
        <v>193</v>
      </c>
      <c r="D1853" t="s">
        <v>25</v>
      </c>
      <c r="E1853">
        <v>86</v>
      </c>
      <c r="F1853">
        <v>182</v>
      </c>
      <c r="G1853" s="1">
        <v>1040</v>
      </c>
      <c r="H1853" s="1">
        <v>320</v>
      </c>
      <c r="I1853" s="1">
        <v>544</v>
      </c>
      <c r="J1853" s="1">
        <v>1700</v>
      </c>
    </row>
    <row r="1854" spans="1:10" x14ac:dyDescent="0.3">
      <c r="A1854" t="s">
        <v>194</v>
      </c>
      <c r="B1854" t="s">
        <v>18</v>
      </c>
      <c r="C1854" t="s">
        <v>193</v>
      </c>
      <c r="D1854" t="s">
        <v>33</v>
      </c>
      <c r="E1854">
        <v>86</v>
      </c>
      <c r="F1854">
        <v>189</v>
      </c>
      <c r="G1854" s="1">
        <v>3500</v>
      </c>
      <c r="H1854" s="1">
        <v>3500</v>
      </c>
      <c r="I1854" s="1">
        <v>8750</v>
      </c>
      <c r="J1854" s="1">
        <v>2500</v>
      </c>
    </row>
    <row r="1855" spans="1:10" x14ac:dyDescent="0.3">
      <c r="A1855" t="s">
        <v>194</v>
      </c>
      <c r="B1855" t="s">
        <v>14</v>
      </c>
      <c r="C1855" t="s">
        <v>193</v>
      </c>
      <c r="D1855" t="s">
        <v>33</v>
      </c>
      <c r="E1855">
        <v>86</v>
      </c>
      <c r="F1855">
        <v>189</v>
      </c>
      <c r="G1855" s="1">
        <v>3500</v>
      </c>
      <c r="H1855" s="1">
        <v>3500</v>
      </c>
      <c r="I1855" s="1">
        <v>12250</v>
      </c>
      <c r="J1855" s="1">
        <v>3500</v>
      </c>
    </row>
    <row r="1856" spans="1:10" x14ac:dyDescent="0.3">
      <c r="A1856" t="s">
        <v>194</v>
      </c>
      <c r="B1856" t="s">
        <v>12</v>
      </c>
      <c r="C1856" t="s">
        <v>193</v>
      </c>
      <c r="D1856" t="s">
        <v>33</v>
      </c>
      <c r="E1856">
        <v>86</v>
      </c>
      <c r="F1856">
        <v>189</v>
      </c>
      <c r="G1856" s="1">
        <v>4000</v>
      </c>
      <c r="H1856" s="1">
        <v>4000</v>
      </c>
      <c r="I1856" s="1">
        <v>12000</v>
      </c>
      <c r="J1856" s="1">
        <v>3000</v>
      </c>
    </row>
    <row r="1857" spans="1:10" x14ac:dyDescent="0.3">
      <c r="A1857" t="s">
        <v>194</v>
      </c>
      <c r="B1857" t="s">
        <v>9</v>
      </c>
      <c r="C1857" t="s">
        <v>193</v>
      </c>
      <c r="D1857" t="s">
        <v>33</v>
      </c>
      <c r="E1857">
        <v>86</v>
      </c>
      <c r="F1857">
        <v>189</v>
      </c>
      <c r="G1857" s="1">
        <v>4000</v>
      </c>
      <c r="H1857" s="1">
        <v>4000</v>
      </c>
      <c r="I1857" s="1">
        <v>14000</v>
      </c>
      <c r="J1857" s="1">
        <v>3500</v>
      </c>
    </row>
    <row r="1858" spans="1:10" x14ac:dyDescent="0.3">
      <c r="A1858" t="s">
        <v>194</v>
      </c>
      <c r="B1858" t="s">
        <v>8</v>
      </c>
      <c r="C1858" t="s">
        <v>193</v>
      </c>
      <c r="D1858" t="s">
        <v>33</v>
      </c>
      <c r="E1858">
        <v>86</v>
      </c>
      <c r="F1858">
        <v>189</v>
      </c>
      <c r="G1858" s="1">
        <v>4000</v>
      </c>
      <c r="H1858" s="1">
        <v>4000</v>
      </c>
      <c r="I1858" s="1">
        <v>12000</v>
      </c>
      <c r="J1858" s="1">
        <v>3000</v>
      </c>
    </row>
    <row r="1859" spans="1:10" x14ac:dyDescent="0.3">
      <c r="A1859" t="s">
        <v>194</v>
      </c>
      <c r="B1859" t="s">
        <v>7</v>
      </c>
      <c r="C1859" t="s">
        <v>193</v>
      </c>
      <c r="D1859" t="s">
        <v>33</v>
      </c>
      <c r="E1859">
        <v>86</v>
      </c>
      <c r="F1859">
        <v>189</v>
      </c>
      <c r="G1859" s="1">
        <v>4000</v>
      </c>
      <c r="H1859" s="1">
        <v>4000</v>
      </c>
      <c r="I1859" s="1">
        <v>12000</v>
      </c>
      <c r="J1859" s="1">
        <v>3000</v>
      </c>
    </row>
    <row r="1860" spans="1:10" x14ac:dyDescent="0.3">
      <c r="A1860" t="s">
        <v>194</v>
      </c>
      <c r="B1860" t="s">
        <v>6</v>
      </c>
      <c r="C1860" t="s">
        <v>193</v>
      </c>
      <c r="D1860" t="s">
        <v>33</v>
      </c>
      <c r="E1860">
        <v>86</v>
      </c>
      <c r="F1860">
        <v>189</v>
      </c>
      <c r="G1860" s="1">
        <v>4000</v>
      </c>
      <c r="H1860" s="1">
        <v>4000</v>
      </c>
      <c r="I1860" s="1">
        <v>10000</v>
      </c>
      <c r="J1860" s="1">
        <v>2500</v>
      </c>
    </row>
    <row r="1861" spans="1:10" x14ac:dyDescent="0.3">
      <c r="A1861" t="s">
        <v>194</v>
      </c>
      <c r="B1861" t="s">
        <v>5</v>
      </c>
      <c r="C1861" t="s">
        <v>193</v>
      </c>
      <c r="D1861" t="s">
        <v>33</v>
      </c>
      <c r="E1861">
        <v>86</v>
      </c>
      <c r="F1861">
        <v>189</v>
      </c>
      <c r="G1861" s="1">
        <v>4000</v>
      </c>
      <c r="H1861" s="1">
        <v>4000</v>
      </c>
      <c r="I1861" s="1">
        <v>6000</v>
      </c>
      <c r="J1861" s="1">
        <v>1500</v>
      </c>
    </row>
    <row r="1862" spans="1:10" x14ac:dyDescent="0.3">
      <c r="A1862" t="s">
        <v>194</v>
      </c>
      <c r="B1862" t="s">
        <v>4</v>
      </c>
      <c r="C1862" t="s">
        <v>193</v>
      </c>
      <c r="D1862" t="s">
        <v>33</v>
      </c>
      <c r="E1862">
        <v>86</v>
      </c>
      <c r="F1862">
        <v>189</v>
      </c>
      <c r="G1862" s="1">
        <v>4000</v>
      </c>
      <c r="H1862" s="1">
        <v>3994</v>
      </c>
      <c r="I1862" s="1">
        <v>13979</v>
      </c>
      <c r="J1862" s="1">
        <v>3500</v>
      </c>
    </row>
    <row r="1863" spans="1:10" x14ac:dyDescent="0.3">
      <c r="A1863" t="s">
        <v>194</v>
      </c>
      <c r="B1863" t="s">
        <v>3</v>
      </c>
      <c r="C1863" t="s">
        <v>193</v>
      </c>
      <c r="D1863" t="s">
        <v>33</v>
      </c>
      <c r="E1863">
        <v>86</v>
      </c>
      <c r="F1863">
        <v>189</v>
      </c>
      <c r="G1863" s="1">
        <v>4400</v>
      </c>
      <c r="H1863" s="1">
        <v>4280</v>
      </c>
      <c r="I1863" s="1">
        <v>9256</v>
      </c>
      <c r="J1863" s="1">
        <v>2163</v>
      </c>
    </row>
    <row r="1864" spans="1:10" x14ac:dyDescent="0.3">
      <c r="A1864" t="s">
        <v>117</v>
      </c>
      <c r="B1864" t="s">
        <v>18</v>
      </c>
      <c r="C1864" t="s">
        <v>193</v>
      </c>
      <c r="D1864" t="s">
        <v>64</v>
      </c>
      <c r="E1864">
        <v>86</v>
      </c>
      <c r="F1864">
        <v>7</v>
      </c>
      <c r="G1864" s="1">
        <v>8500</v>
      </c>
      <c r="H1864" s="1">
        <v>7450</v>
      </c>
      <c r="I1864" s="1">
        <v>22350</v>
      </c>
      <c r="J1864" s="1">
        <v>3000</v>
      </c>
    </row>
    <row r="1865" spans="1:10" x14ac:dyDescent="0.3">
      <c r="A1865" t="s">
        <v>117</v>
      </c>
      <c r="B1865" t="s">
        <v>17</v>
      </c>
      <c r="C1865" t="s">
        <v>193</v>
      </c>
      <c r="D1865" t="s">
        <v>64</v>
      </c>
      <c r="E1865">
        <v>86</v>
      </c>
      <c r="F1865">
        <v>7</v>
      </c>
      <c r="G1865" s="1">
        <v>10000</v>
      </c>
      <c r="H1865" s="1">
        <v>10000</v>
      </c>
      <c r="I1865" s="1">
        <v>35000</v>
      </c>
      <c r="J1865" s="1">
        <v>3500</v>
      </c>
    </row>
    <row r="1866" spans="1:10" x14ac:dyDescent="0.3">
      <c r="A1866" t="s">
        <v>117</v>
      </c>
      <c r="B1866" t="s">
        <v>14</v>
      </c>
      <c r="C1866" t="s">
        <v>193</v>
      </c>
      <c r="D1866" t="s">
        <v>64</v>
      </c>
      <c r="E1866">
        <v>86</v>
      </c>
      <c r="F1866">
        <v>7</v>
      </c>
      <c r="G1866" s="1">
        <v>5000</v>
      </c>
      <c r="H1866" s="1">
        <v>2950</v>
      </c>
      <c r="I1866" s="1">
        <v>10325</v>
      </c>
      <c r="J1866" s="1">
        <v>3500</v>
      </c>
    </row>
    <row r="1867" spans="1:10" x14ac:dyDescent="0.3">
      <c r="A1867" t="s">
        <v>117</v>
      </c>
      <c r="B1867" t="s">
        <v>12</v>
      </c>
      <c r="C1867" t="s">
        <v>193</v>
      </c>
      <c r="D1867" t="s">
        <v>64</v>
      </c>
      <c r="E1867">
        <v>86</v>
      </c>
      <c r="F1867">
        <v>7</v>
      </c>
      <c r="G1867" s="1">
        <v>6200</v>
      </c>
      <c r="H1867" s="1">
        <v>5120</v>
      </c>
      <c r="I1867" s="1">
        <v>10240</v>
      </c>
      <c r="J1867" s="1">
        <v>2000</v>
      </c>
    </row>
    <row r="1868" spans="1:10" x14ac:dyDescent="0.3">
      <c r="A1868" t="s">
        <v>117</v>
      </c>
      <c r="B1868" t="s">
        <v>9</v>
      </c>
      <c r="C1868" t="s">
        <v>193</v>
      </c>
      <c r="D1868" t="s">
        <v>64</v>
      </c>
      <c r="E1868">
        <v>86</v>
      </c>
      <c r="F1868">
        <v>7</v>
      </c>
      <c r="G1868" s="1">
        <v>5595</v>
      </c>
      <c r="H1868" s="1">
        <v>2745</v>
      </c>
      <c r="I1868" s="1">
        <v>8510</v>
      </c>
      <c r="J1868" s="1">
        <v>3100</v>
      </c>
    </row>
    <row r="1869" spans="1:10" x14ac:dyDescent="0.3">
      <c r="A1869" t="s">
        <v>117</v>
      </c>
      <c r="B1869" t="s">
        <v>8</v>
      </c>
      <c r="C1869" t="s">
        <v>193</v>
      </c>
      <c r="D1869" t="s">
        <v>64</v>
      </c>
      <c r="E1869">
        <v>86</v>
      </c>
      <c r="F1869">
        <v>7</v>
      </c>
      <c r="G1869" s="1">
        <v>2500</v>
      </c>
      <c r="H1869" s="1">
        <v>2500</v>
      </c>
      <c r="I1869" s="1">
        <v>4750</v>
      </c>
      <c r="J1869" s="1">
        <v>1900</v>
      </c>
    </row>
    <row r="1870" spans="1:10" x14ac:dyDescent="0.3">
      <c r="A1870" t="s">
        <v>117</v>
      </c>
      <c r="B1870" t="s">
        <v>7</v>
      </c>
      <c r="C1870" t="s">
        <v>193</v>
      </c>
      <c r="D1870" t="s">
        <v>64</v>
      </c>
      <c r="E1870">
        <v>86</v>
      </c>
      <c r="F1870">
        <v>7</v>
      </c>
      <c r="G1870" s="1">
        <v>5130</v>
      </c>
      <c r="H1870" s="1">
        <v>4480</v>
      </c>
      <c r="I1870" s="1">
        <v>15680</v>
      </c>
      <c r="J1870" s="1">
        <v>3500</v>
      </c>
    </row>
    <row r="1871" spans="1:10" x14ac:dyDescent="0.3">
      <c r="A1871" t="s">
        <v>117</v>
      </c>
      <c r="B1871" t="s">
        <v>6</v>
      </c>
      <c r="C1871" t="s">
        <v>193</v>
      </c>
      <c r="D1871" t="s">
        <v>64</v>
      </c>
      <c r="E1871">
        <v>86</v>
      </c>
      <c r="F1871">
        <v>7</v>
      </c>
      <c r="G1871" s="1">
        <v>5130</v>
      </c>
      <c r="H1871" s="1">
        <v>3150</v>
      </c>
      <c r="I1871" s="1">
        <v>9450</v>
      </c>
      <c r="J1871" s="1">
        <v>3000</v>
      </c>
    </row>
    <row r="1872" spans="1:10" x14ac:dyDescent="0.3">
      <c r="A1872" t="s">
        <v>117</v>
      </c>
      <c r="B1872" t="s">
        <v>5</v>
      </c>
      <c r="C1872" t="s">
        <v>193</v>
      </c>
      <c r="D1872" t="s">
        <v>64</v>
      </c>
      <c r="E1872">
        <v>86</v>
      </c>
      <c r="F1872">
        <v>7</v>
      </c>
      <c r="G1872" s="1">
        <v>5130</v>
      </c>
      <c r="H1872" s="1">
        <v>3510</v>
      </c>
      <c r="I1872" s="1">
        <v>7371</v>
      </c>
      <c r="J1872" s="1">
        <v>2100</v>
      </c>
    </row>
    <row r="1873" spans="1:10" x14ac:dyDescent="0.3">
      <c r="A1873" t="s">
        <v>117</v>
      </c>
      <c r="B1873" t="s">
        <v>4</v>
      </c>
      <c r="C1873" t="s">
        <v>193</v>
      </c>
      <c r="D1873" t="s">
        <v>64</v>
      </c>
      <c r="E1873">
        <v>86</v>
      </c>
      <c r="F1873">
        <v>7</v>
      </c>
      <c r="G1873" s="1">
        <v>5500</v>
      </c>
      <c r="H1873" s="1">
        <v>3520</v>
      </c>
      <c r="I1873" s="1">
        <v>9856</v>
      </c>
      <c r="J1873" s="1">
        <v>2800</v>
      </c>
    </row>
    <row r="1874" spans="1:10" x14ac:dyDescent="0.3">
      <c r="A1874" t="s">
        <v>117</v>
      </c>
      <c r="B1874" t="s">
        <v>3</v>
      </c>
      <c r="C1874" t="s">
        <v>193</v>
      </c>
      <c r="D1874" t="s">
        <v>64</v>
      </c>
      <c r="E1874">
        <v>86</v>
      </c>
      <c r="F1874">
        <v>7</v>
      </c>
      <c r="G1874" s="1">
        <v>9700</v>
      </c>
      <c r="H1874" s="1">
        <v>8660</v>
      </c>
      <c r="I1874" s="1">
        <v>17320</v>
      </c>
      <c r="J1874" s="1">
        <v>2000</v>
      </c>
    </row>
    <row r="1875" spans="1:10" x14ac:dyDescent="0.3">
      <c r="A1875" t="s">
        <v>117</v>
      </c>
      <c r="B1875" t="s">
        <v>18</v>
      </c>
      <c r="C1875" t="s">
        <v>193</v>
      </c>
      <c r="D1875" t="s">
        <v>62</v>
      </c>
      <c r="E1875">
        <v>86</v>
      </c>
      <c r="F1875">
        <v>14</v>
      </c>
      <c r="G1875" s="1">
        <v>3000</v>
      </c>
      <c r="H1875" s="1">
        <v>2680</v>
      </c>
      <c r="I1875" s="1">
        <v>8580</v>
      </c>
      <c r="J1875" s="1">
        <v>3201</v>
      </c>
    </row>
    <row r="1876" spans="1:10" x14ac:dyDescent="0.3">
      <c r="A1876" t="s">
        <v>117</v>
      </c>
      <c r="B1876" t="s">
        <v>17</v>
      </c>
      <c r="C1876" t="s">
        <v>193</v>
      </c>
      <c r="D1876" t="s">
        <v>62</v>
      </c>
      <c r="E1876">
        <v>86</v>
      </c>
      <c r="F1876">
        <v>14</v>
      </c>
      <c r="G1876" s="1">
        <v>3000</v>
      </c>
      <c r="H1876" s="1">
        <v>3000</v>
      </c>
      <c r="I1876" s="1">
        <v>10500</v>
      </c>
      <c r="J1876" s="1">
        <v>3500</v>
      </c>
    </row>
    <row r="1877" spans="1:10" x14ac:dyDescent="0.3">
      <c r="A1877" t="s">
        <v>117</v>
      </c>
      <c r="B1877" t="s">
        <v>14</v>
      </c>
      <c r="C1877" t="s">
        <v>193</v>
      </c>
      <c r="D1877" t="s">
        <v>62</v>
      </c>
      <c r="E1877">
        <v>86</v>
      </c>
      <c r="F1877">
        <v>14</v>
      </c>
      <c r="G1877" s="1">
        <v>3000</v>
      </c>
      <c r="H1877" s="1">
        <v>3000</v>
      </c>
      <c r="I1877" s="1">
        <v>10200</v>
      </c>
      <c r="J1877" s="1">
        <v>3400</v>
      </c>
    </row>
    <row r="1878" spans="1:10" x14ac:dyDescent="0.3">
      <c r="A1878" t="s">
        <v>117</v>
      </c>
      <c r="B1878" t="s">
        <v>12</v>
      </c>
      <c r="C1878" t="s">
        <v>193</v>
      </c>
      <c r="D1878" t="s">
        <v>62</v>
      </c>
      <c r="E1878">
        <v>86</v>
      </c>
      <c r="F1878">
        <v>14</v>
      </c>
      <c r="G1878" s="1">
        <v>6400</v>
      </c>
      <c r="H1878" s="1">
        <v>3200</v>
      </c>
      <c r="I1878" s="1">
        <v>8960</v>
      </c>
      <c r="J1878" s="1">
        <v>2800</v>
      </c>
    </row>
    <row r="1879" spans="1:10" x14ac:dyDescent="0.3">
      <c r="A1879" t="s">
        <v>117</v>
      </c>
      <c r="B1879" t="s">
        <v>9</v>
      </c>
      <c r="C1879" t="s">
        <v>193</v>
      </c>
      <c r="D1879" t="s">
        <v>62</v>
      </c>
      <c r="E1879">
        <v>86</v>
      </c>
      <c r="F1879">
        <v>14</v>
      </c>
      <c r="G1879" s="1">
        <v>6510</v>
      </c>
      <c r="H1879" s="1">
        <v>3160</v>
      </c>
      <c r="I1879" s="1">
        <v>10112</v>
      </c>
      <c r="J1879" s="1">
        <v>3200</v>
      </c>
    </row>
    <row r="1880" spans="1:10" x14ac:dyDescent="0.3">
      <c r="A1880" t="s">
        <v>117</v>
      </c>
      <c r="B1880" t="s">
        <v>8</v>
      </c>
      <c r="C1880" t="s">
        <v>193</v>
      </c>
      <c r="D1880" t="s">
        <v>62</v>
      </c>
      <c r="E1880">
        <v>86</v>
      </c>
      <c r="F1880">
        <v>14</v>
      </c>
      <c r="G1880" s="1">
        <v>3700</v>
      </c>
      <c r="H1880" s="1">
        <v>3250</v>
      </c>
      <c r="I1880" s="1">
        <v>10075</v>
      </c>
      <c r="J1880" s="1">
        <v>3100</v>
      </c>
    </row>
    <row r="1881" spans="1:10" x14ac:dyDescent="0.3">
      <c r="A1881" t="s">
        <v>117</v>
      </c>
      <c r="B1881" t="s">
        <v>7</v>
      </c>
      <c r="C1881" t="s">
        <v>193</v>
      </c>
      <c r="D1881" t="s">
        <v>62</v>
      </c>
      <c r="E1881">
        <v>86</v>
      </c>
      <c r="F1881">
        <v>14</v>
      </c>
      <c r="G1881" s="1">
        <v>5120</v>
      </c>
      <c r="H1881" s="1">
        <v>2800</v>
      </c>
      <c r="I1881" s="1">
        <v>8960</v>
      </c>
      <c r="J1881" s="1">
        <v>3200</v>
      </c>
    </row>
    <row r="1882" spans="1:10" x14ac:dyDescent="0.3">
      <c r="A1882" t="s">
        <v>117</v>
      </c>
      <c r="B1882" t="s">
        <v>6</v>
      </c>
      <c r="C1882" t="s">
        <v>193</v>
      </c>
      <c r="D1882" t="s">
        <v>62</v>
      </c>
      <c r="E1882">
        <v>86</v>
      </c>
      <c r="F1882">
        <v>14</v>
      </c>
      <c r="G1882" s="1">
        <v>5120</v>
      </c>
      <c r="H1882" s="1">
        <v>2900</v>
      </c>
      <c r="I1882" s="1">
        <v>8120</v>
      </c>
      <c r="J1882" s="1">
        <v>2800</v>
      </c>
    </row>
    <row r="1883" spans="1:10" x14ac:dyDescent="0.3">
      <c r="A1883" t="s">
        <v>117</v>
      </c>
      <c r="B1883" t="s">
        <v>5</v>
      </c>
      <c r="C1883" t="s">
        <v>193</v>
      </c>
      <c r="D1883" t="s">
        <v>62</v>
      </c>
      <c r="E1883">
        <v>86</v>
      </c>
      <c r="F1883">
        <v>14</v>
      </c>
      <c r="G1883" s="1">
        <v>5120</v>
      </c>
      <c r="H1883" s="1">
        <v>3390</v>
      </c>
      <c r="I1883" s="1">
        <v>8136</v>
      </c>
      <c r="J1883" s="1">
        <v>2400</v>
      </c>
    </row>
    <row r="1884" spans="1:10" x14ac:dyDescent="0.3">
      <c r="A1884" t="s">
        <v>117</v>
      </c>
      <c r="B1884" t="s">
        <v>4</v>
      </c>
      <c r="C1884" t="s">
        <v>193</v>
      </c>
      <c r="D1884" t="s">
        <v>62</v>
      </c>
      <c r="E1884">
        <v>86</v>
      </c>
      <c r="F1884">
        <v>14</v>
      </c>
      <c r="G1884" s="1">
        <v>5000</v>
      </c>
      <c r="H1884" s="1">
        <v>3420</v>
      </c>
      <c r="I1884" s="1">
        <v>6156</v>
      </c>
      <c r="J1884" s="1">
        <v>1800</v>
      </c>
    </row>
    <row r="1885" spans="1:10" x14ac:dyDescent="0.3">
      <c r="A1885" t="s">
        <v>117</v>
      </c>
      <c r="B1885" t="s">
        <v>3</v>
      </c>
      <c r="C1885" t="s">
        <v>193</v>
      </c>
      <c r="D1885" t="s">
        <v>62</v>
      </c>
      <c r="E1885">
        <v>86</v>
      </c>
      <c r="F1885">
        <v>14</v>
      </c>
      <c r="G1885" s="1">
        <v>7100</v>
      </c>
      <c r="H1885" s="1">
        <v>3660</v>
      </c>
      <c r="I1885" s="1">
        <v>5124</v>
      </c>
      <c r="J1885" s="1">
        <v>1400</v>
      </c>
    </row>
    <row r="1886" spans="1:10" x14ac:dyDescent="0.3">
      <c r="A1886" t="s">
        <v>117</v>
      </c>
      <c r="B1886" t="s">
        <v>4</v>
      </c>
      <c r="C1886" t="s">
        <v>193</v>
      </c>
      <c r="D1886" t="s">
        <v>27</v>
      </c>
      <c r="E1886">
        <v>86</v>
      </c>
      <c r="F1886">
        <v>21</v>
      </c>
      <c r="G1886" s="1">
        <v>500</v>
      </c>
      <c r="H1886" s="1">
        <v>0</v>
      </c>
      <c r="I1886" s="1">
        <v>0</v>
      </c>
      <c r="J1886" s="1">
        <v>0</v>
      </c>
    </row>
    <row r="1887" spans="1:10" x14ac:dyDescent="0.3">
      <c r="A1887" t="s">
        <v>117</v>
      </c>
      <c r="B1887" t="s">
        <v>3</v>
      </c>
      <c r="C1887" t="s">
        <v>193</v>
      </c>
      <c r="D1887" t="s">
        <v>27</v>
      </c>
      <c r="E1887">
        <v>86</v>
      </c>
      <c r="F1887">
        <v>21</v>
      </c>
      <c r="G1887" s="1">
        <v>550</v>
      </c>
      <c r="H1887" s="1">
        <v>300</v>
      </c>
      <c r="I1887" s="1">
        <v>1350</v>
      </c>
      <c r="J1887" s="1">
        <v>4500</v>
      </c>
    </row>
    <row r="1888" spans="1:10" x14ac:dyDescent="0.3">
      <c r="A1888" t="s">
        <v>117</v>
      </c>
      <c r="B1888" t="s">
        <v>18</v>
      </c>
      <c r="C1888" t="s">
        <v>193</v>
      </c>
      <c r="D1888" t="s">
        <v>37</v>
      </c>
      <c r="E1888">
        <v>86</v>
      </c>
      <c r="F1888">
        <v>28</v>
      </c>
      <c r="G1888" s="1">
        <v>1900</v>
      </c>
      <c r="H1888" s="1">
        <v>1690</v>
      </c>
      <c r="I1888" s="1">
        <v>5070</v>
      </c>
      <c r="J1888" s="1">
        <v>3000</v>
      </c>
    </row>
    <row r="1889" spans="1:10" x14ac:dyDescent="0.3">
      <c r="A1889" t="s">
        <v>117</v>
      </c>
      <c r="B1889" t="s">
        <v>17</v>
      </c>
      <c r="C1889" t="s">
        <v>193</v>
      </c>
      <c r="D1889" t="s">
        <v>37</v>
      </c>
      <c r="E1889">
        <v>86</v>
      </c>
      <c r="F1889">
        <v>28</v>
      </c>
      <c r="G1889" s="1">
        <v>2000</v>
      </c>
      <c r="H1889" s="1">
        <v>2000</v>
      </c>
      <c r="I1889" s="1">
        <v>7000</v>
      </c>
      <c r="J1889" s="1">
        <v>3500</v>
      </c>
    </row>
    <row r="1890" spans="1:10" x14ac:dyDescent="0.3">
      <c r="A1890" t="s">
        <v>117</v>
      </c>
      <c r="B1890" t="s">
        <v>14</v>
      </c>
      <c r="C1890" t="s">
        <v>193</v>
      </c>
      <c r="D1890" t="s">
        <v>37</v>
      </c>
      <c r="E1890">
        <v>86</v>
      </c>
      <c r="F1890">
        <v>28</v>
      </c>
      <c r="G1890" s="1">
        <v>2000</v>
      </c>
      <c r="H1890" s="1">
        <v>1580</v>
      </c>
      <c r="I1890" s="1">
        <v>4108</v>
      </c>
      <c r="J1890" s="1">
        <v>2600</v>
      </c>
    </row>
    <row r="1891" spans="1:10" x14ac:dyDescent="0.3">
      <c r="A1891" t="s">
        <v>117</v>
      </c>
      <c r="B1891" t="s">
        <v>12</v>
      </c>
      <c r="C1891" t="s">
        <v>193</v>
      </c>
      <c r="D1891" t="s">
        <v>37</v>
      </c>
      <c r="E1891">
        <v>86</v>
      </c>
      <c r="F1891">
        <v>28</v>
      </c>
      <c r="G1891" s="1">
        <v>2900</v>
      </c>
      <c r="H1891" s="1">
        <v>2000</v>
      </c>
      <c r="I1891" s="1">
        <v>6000</v>
      </c>
      <c r="J1891" s="1">
        <v>3000</v>
      </c>
    </row>
    <row r="1892" spans="1:10" x14ac:dyDescent="0.3">
      <c r="A1892" t="s">
        <v>117</v>
      </c>
      <c r="B1892" t="s">
        <v>9</v>
      </c>
      <c r="C1892" t="s">
        <v>193</v>
      </c>
      <c r="D1892" t="s">
        <v>37</v>
      </c>
      <c r="E1892">
        <v>86</v>
      </c>
      <c r="F1892">
        <v>28</v>
      </c>
      <c r="G1892" s="1">
        <v>2755</v>
      </c>
      <c r="H1892" s="1">
        <v>1855</v>
      </c>
      <c r="I1892" s="1">
        <v>5194</v>
      </c>
      <c r="J1892" s="1">
        <v>2800</v>
      </c>
    </row>
    <row r="1893" spans="1:10" x14ac:dyDescent="0.3">
      <c r="A1893" t="s">
        <v>117</v>
      </c>
      <c r="B1893" t="s">
        <v>8</v>
      </c>
      <c r="C1893" t="s">
        <v>193</v>
      </c>
      <c r="D1893" t="s">
        <v>37</v>
      </c>
      <c r="E1893">
        <v>86</v>
      </c>
      <c r="F1893">
        <v>28</v>
      </c>
      <c r="G1893" s="1">
        <v>1800</v>
      </c>
      <c r="H1893" s="1">
        <v>1800</v>
      </c>
      <c r="I1893" s="1">
        <v>5040</v>
      </c>
      <c r="J1893" s="1">
        <v>2800</v>
      </c>
    </row>
    <row r="1894" spans="1:10" x14ac:dyDescent="0.3">
      <c r="A1894" t="s">
        <v>117</v>
      </c>
      <c r="B1894" t="s">
        <v>7</v>
      </c>
      <c r="C1894" t="s">
        <v>193</v>
      </c>
      <c r="D1894" t="s">
        <v>37</v>
      </c>
      <c r="E1894">
        <v>86</v>
      </c>
      <c r="F1894">
        <v>28</v>
      </c>
      <c r="G1894" s="1">
        <v>2400</v>
      </c>
      <c r="H1894" s="1">
        <v>2400</v>
      </c>
      <c r="I1894" s="1">
        <v>7680</v>
      </c>
      <c r="J1894" s="1">
        <v>3200</v>
      </c>
    </row>
    <row r="1895" spans="1:10" x14ac:dyDescent="0.3">
      <c r="A1895" t="s">
        <v>117</v>
      </c>
      <c r="B1895" t="s">
        <v>6</v>
      </c>
      <c r="C1895" t="s">
        <v>193</v>
      </c>
      <c r="D1895" t="s">
        <v>37</v>
      </c>
      <c r="E1895">
        <v>86</v>
      </c>
      <c r="F1895">
        <v>28</v>
      </c>
      <c r="G1895" s="1">
        <v>2400</v>
      </c>
      <c r="H1895" s="1">
        <v>2020</v>
      </c>
      <c r="I1895" s="1">
        <v>6464</v>
      </c>
      <c r="J1895" s="1">
        <v>3200</v>
      </c>
    </row>
    <row r="1896" spans="1:10" x14ac:dyDescent="0.3">
      <c r="A1896" t="s">
        <v>117</v>
      </c>
      <c r="B1896" t="s">
        <v>5</v>
      </c>
      <c r="C1896" t="s">
        <v>193</v>
      </c>
      <c r="D1896" t="s">
        <v>37</v>
      </c>
      <c r="E1896">
        <v>86</v>
      </c>
      <c r="F1896">
        <v>28</v>
      </c>
      <c r="G1896" s="1">
        <v>2400</v>
      </c>
      <c r="H1896" s="1">
        <v>2400</v>
      </c>
      <c r="I1896" s="1">
        <v>4800</v>
      </c>
      <c r="J1896" s="1">
        <v>2000</v>
      </c>
    </row>
    <row r="1897" spans="1:10" x14ac:dyDescent="0.3">
      <c r="A1897" t="s">
        <v>117</v>
      </c>
      <c r="B1897" t="s">
        <v>4</v>
      </c>
      <c r="C1897" t="s">
        <v>193</v>
      </c>
      <c r="D1897" t="s">
        <v>37</v>
      </c>
      <c r="E1897">
        <v>86</v>
      </c>
      <c r="F1897">
        <v>28</v>
      </c>
      <c r="G1897" s="1">
        <v>3100</v>
      </c>
      <c r="H1897" s="1">
        <v>2610</v>
      </c>
      <c r="I1897" s="1">
        <v>6786</v>
      </c>
      <c r="J1897" s="1">
        <v>2600</v>
      </c>
    </row>
    <row r="1898" spans="1:10" x14ac:dyDescent="0.3">
      <c r="A1898" t="s">
        <v>117</v>
      </c>
      <c r="B1898" t="s">
        <v>3</v>
      </c>
      <c r="C1898" t="s">
        <v>193</v>
      </c>
      <c r="D1898" t="s">
        <v>37</v>
      </c>
      <c r="E1898">
        <v>86</v>
      </c>
      <c r="F1898">
        <v>28</v>
      </c>
      <c r="G1898" s="1">
        <v>4350</v>
      </c>
      <c r="H1898" s="1">
        <v>4190</v>
      </c>
      <c r="I1898" s="1">
        <v>9218</v>
      </c>
      <c r="J1898" s="1">
        <v>2200</v>
      </c>
    </row>
    <row r="1899" spans="1:10" x14ac:dyDescent="0.3">
      <c r="A1899" t="s">
        <v>117</v>
      </c>
      <c r="B1899" t="s">
        <v>18</v>
      </c>
      <c r="C1899" t="s">
        <v>193</v>
      </c>
      <c r="D1899" t="s">
        <v>44</v>
      </c>
      <c r="E1899">
        <v>86</v>
      </c>
      <c r="F1899">
        <v>35</v>
      </c>
      <c r="G1899" s="1">
        <v>2600</v>
      </c>
      <c r="H1899" s="1">
        <v>1600</v>
      </c>
      <c r="I1899" s="1">
        <v>5600</v>
      </c>
      <c r="J1899" s="1">
        <v>3500</v>
      </c>
    </row>
    <row r="1900" spans="1:10" x14ac:dyDescent="0.3">
      <c r="A1900" t="s">
        <v>117</v>
      </c>
      <c r="B1900" t="s">
        <v>17</v>
      </c>
      <c r="C1900" t="s">
        <v>193</v>
      </c>
      <c r="D1900" t="s">
        <v>44</v>
      </c>
      <c r="E1900">
        <v>86</v>
      </c>
      <c r="F1900">
        <v>35</v>
      </c>
      <c r="G1900" s="1">
        <v>3000</v>
      </c>
      <c r="H1900" s="1">
        <v>2700</v>
      </c>
      <c r="I1900" s="1">
        <v>9450</v>
      </c>
      <c r="J1900" s="1">
        <v>3500</v>
      </c>
    </row>
    <row r="1901" spans="1:10" x14ac:dyDescent="0.3">
      <c r="A1901" t="s">
        <v>117</v>
      </c>
      <c r="B1901" t="s">
        <v>14</v>
      </c>
      <c r="C1901" t="s">
        <v>193</v>
      </c>
      <c r="D1901" t="s">
        <v>44</v>
      </c>
      <c r="E1901">
        <v>86</v>
      </c>
      <c r="F1901">
        <v>35</v>
      </c>
      <c r="G1901" s="1">
        <v>3000</v>
      </c>
      <c r="H1901" s="1">
        <v>2700</v>
      </c>
      <c r="I1901" s="1">
        <v>11340</v>
      </c>
      <c r="J1901" s="1">
        <v>4200</v>
      </c>
    </row>
    <row r="1902" spans="1:10" x14ac:dyDescent="0.3">
      <c r="A1902" t="s">
        <v>117</v>
      </c>
      <c r="B1902" t="s">
        <v>12</v>
      </c>
      <c r="C1902" t="s">
        <v>193</v>
      </c>
      <c r="D1902" t="s">
        <v>44</v>
      </c>
      <c r="E1902">
        <v>86</v>
      </c>
      <c r="F1902">
        <v>35</v>
      </c>
      <c r="G1902" s="1">
        <v>2000</v>
      </c>
      <c r="H1902" s="1">
        <v>1800</v>
      </c>
      <c r="I1902" s="1">
        <v>5760</v>
      </c>
      <c r="J1902" s="1">
        <v>3200</v>
      </c>
    </row>
    <row r="1903" spans="1:10" x14ac:dyDescent="0.3">
      <c r="A1903" t="s">
        <v>117</v>
      </c>
      <c r="B1903" t="s">
        <v>9</v>
      </c>
      <c r="C1903" t="s">
        <v>193</v>
      </c>
      <c r="D1903" t="s">
        <v>44</v>
      </c>
      <c r="E1903">
        <v>86</v>
      </c>
      <c r="F1903">
        <v>35</v>
      </c>
      <c r="G1903" s="1">
        <v>1500</v>
      </c>
      <c r="H1903" s="1">
        <v>1200</v>
      </c>
      <c r="I1903" s="1">
        <v>5400</v>
      </c>
      <c r="J1903" s="1">
        <v>4500</v>
      </c>
    </row>
    <row r="1904" spans="1:10" x14ac:dyDescent="0.3">
      <c r="A1904" t="s">
        <v>117</v>
      </c>
      <c r="B1904" t="s">
        <v>8</v>
      </c>
      <c r="C1904" t="s">
        <v>193</v>
      </c>
      <c r="D1904" t="s">
        <v>44</v>
      </c>
      <c r="E1904">
        <v>86</v>
      </c>
      <c r="F1904">
        <v>35</v>
      </c>
      <c r="G1904" s="1">
        <v>1500</v>
      </c>
      <c r="H1904" s="1">
        <v>1350</v>
      </c>
      <c r="I1904" s="1">
        <v>6075</v>
      </c>
      <c r="J1904" s="1">
        <v>4500</v>
      </c>
    </row>
    <row r="1905" spans="1:10" x14ac:dyDescent="0.3">
      <c r="A1905" t="s">
        <v>117</v>
      </c>
      <c r="B1905" t="s">
        <v>7</v>
      </c>
      <c r="C1905" t="s">
        <v>193</v>
      </c>
      <c r="D1905" t="s">
        <v>44</v>
      </c>
      <c r="E1905">
        <v>86</v>
      </c>
      <c r="F1905">
        <v>35</v>
      </c>
      <c r="G1905" s="1">
        <v>2500</v>
      </c>
      <c r="H1905" s="1">
        <v>2250</v>
      </c>
      <c r="I1905" s="1">
        <v>10125</v>
      </c>
      <c r="J1905" s="1">
        <v>4500</v>
      </c>
    </row>
    <row r="1906" spans="1:10" x14ac:dyDescent="0.3">
      <c r="A1906" t="s">
        <v>117</v>
      </c>
      <c r="B1906" t="s">
        <v>6</v>
      </c>
      <c r="C1906" t="s">
        <v>193</v>
      </c>
      <c r="D1906" t="s">
        <v>44</v>
      </c>
      <c r="E1906">
        <v>86</v>
      </c>
      <c r="F1906">
        <v>35</v>
      </c>
      <c r="G1906" s="1">
        <v>2500</v>
      </c>
      <c r="H1906" s="1">
        <v>2500</v>
      </c>
      <c r="I1906" s="1">
        <v>11250</v>
      </c>
      <c r="J1906" s="1">
        <v>4500</v>
      </c>
    </row>
    <row r="1907" spans="1:10" x14ac:dyDescent="0.3">
      <c r="A1907" t="s">
        <v>117</v>
      </c>
      <c r="B1907" t="s">
        <v>5</v>
      </c>
      <c r="C1907" t="s">
        <v>193</v>
      </c>
      <c r="D1907" t="s">
        <v>44</v>
      </c>
      <c r="E1907">
        <v>86</v>
      </c>
      <c r="F1907">
        <v>35</v>
      </c>
      <c r="G1907" s="1">
        <v>3000</v>
      </c>
      <c r="H1907" s="1">
        <v>2400</v>
      </c>
      <c r="I1907" s="1">
        <v>10800</v>
      </c>
      <c r="J1907" s="1">
        <v>4500</v>
      </c>
    </row>
    <row r="1908" spans="1:10" x14ac:dyDescent="0.3">
      <c r="A1908" t="s">
        <v>117</v>
      </c>
      <c r="B1908" t="s">
        <v>4</v>
      </c>
      <c r="C1908" t="s">
        <v>193</v>
      </c>
      <c r="D1908" t="s">
        <v>44</v>
      </c>
      <c r="E1908">
        <v>86</v>
      </c>
      <c r="F1908">
        <v>35</v>
      </c>
      <c r="G1908" s="1">
        <v>4000</v>
      </c>
      <c r="H1908" s="1">
        <v>3200</v>
      </c>
      <c r="I1908" s="1">
        <v>12800</v>
      </c>
      <c r="J1908" s="1">
        <v>4000</v>
      </c>
    </row>
    <row r="1909" spans="1:10" x14ac:dyDescent="0.3">
      <c r="A1909" t="s">
        <v>117</v>
      </c>
      <c r="B1909" t="s">
        <v>3</v>
      </c>
      <c r="C1909" t="s">
        <v>193</v>
      </c>
      <c r="D1909" t="s">
        <v>44</v>
      </c>
      <c r="E1909">
        <v>86</v>
      </c>
      <c r="F1909">
        <v>35</v>
      </c>
      <c r="G1909" s="1">
        <v>3300</v>
      </c>
      <c r="H1909" s="1">
        <v>2210</v>
      </c>
      <c r="I1909" s="1">
        <v>9945</v>
      </c>
      <c r="J1909" s="1">
        <v>4500</v>
      </c>
    </row>
    <row r="1910" spans="1:10" x14ac:dyDescent="0.3">
      <c r="A1910" t="s">
        <v>117</v>
      </c>
      <c r="B1910" t="s">
        <v>18</v>
      </c>
      <c r="C1910" t="s">
        <v>193</v>
      </c>
      <c r="D1910" t="s">
        <v>74</v>
      </c>
      <c r="E1910">
        <v>86</v>
      </c>
      <c r="F1910">
        <v>42</v>
      </c>
      <c r="G1910" s="1">
        <v>8000</v>
      </c>
      <c r="H1910" s="1">
        <v>6950</v>
      </c>
      <c r="I1910" s="1">
        <v>19460</v>
      </c>
      <c r="J1910" s="1">
        <v>2800</v>
      </c>
    </row>
    <row r="1911" spans="1:10" x14ac:dyDescent="0.3">
      <c r="A1911" t="s">
        <v>117</v>
      </c>
      <c r="B1911" t="s">
        <v>17</v>
      </c>
      <c r="C1911" t="s">
        <v>193</v>
      </c>
      <c r="D1911" t="s">
        <v>74</v>
      </c>
      <c r="E1911">
        <v>86</v>
      </c>
      <c r="F1911">
        <v>42</v>
      </c>
      <c r="G1911" s="1">
        <v>10000</v>
      </c>
      <c r="H1911" s="1">
        <v>10000</v>
      </c>
      <c r="I1911" s="1">
        <v>35000</v>
      </c>
      <c r="J1911" s="1">
        <v>3500</v>
      </c>
    </row>
    <row r="1912" spans="1:10" x14ac:dyDescent="0.3">
      <c r="A1912" t="s">
        <v>117</v>
      </c>
      <c r="B1912" t="s">
        <v>14</v>
      </c>
      <c r="C1912" t="s">
        <v>193</v>
      </c>
      <c r="D1912" t="s">
        <v>74</v>
      </c>
      <c r="E1912">
        <v>86</v>
      </c>
      <c r="F1912">
        <v>42</v>
      </c>
      <c r="G1912" s="1">
        <v>3800</v>
      </c>
      <c r="H1912" s="1">
        <v>1800</v>
      </c>
      <c r="I1912" s="1">
        <v>5760</v>
      </c>
      <c r="J1912" s="1">
        <v>3200</v>
      </c>
    </row>
    <row r="1913" spans="1:10" x14ac:dyDescent="0.3">
      <c r="A1913" t="s">
        <v>117</v>
      </c>
      <c r="B1913" t="s">
        <v>12</v>
      </c>
      <c r="C1913" t="s">
        <v>193</v>
      </c>
      <c r="D1913" t="s">
        <v>74</v>
      </c>
      <c r="E1913">
        <v>86</v>
      </c>
      <c r="F1913">
        <v>42</v>
      </c>
      <c r="G1913" s="1">
        <v>4700</v>
      </c>
      <c r="H1913" s="1">
        <v>2000</v>
      </c>
      <c r="I1913" s="1">
        <v>4400</v>
      </c>
      <c r="J1913" s="1">
        <v>2200</v>
      </c>
    </row>
    <row r="1914" spans="1:10" x14ac:dyDescent="0.3">
      <c r="A1914" t="s">
        <v>117</v>
      </c>
      <c r="B1914" t="s">
        <v>9</v>
      </c>
      <c r="C1914" t="s">
        <v>193</v>
      </c>
      <c r="D1914" t="s">
        <v>74</v>
      </c>
      <c r="E1914">
        <v>86</v>
      </c>
      <c r="F1914">
        <v>42</v>
      </c>
      <c r="G1914" s="1">
        <v>5105</v>
      </c>
      <c r="H1914" s="1">
        <v>1705</v>
      </c>
      <c r="I1914" s="1">
        <v>5115</v>
      </c>
      <c r="J1914" s="1">
        <v>3000</v>
      </c>
    </row>
    <row r="1915" spans="1:10" x14ac:dyDescent="0.3">
      <c r="A1915" t="s">
        <v>117</v>
      </c>
      <c r="B1915" t="s">
        <v>8</v>
      </c>
      <c r="C1915" t="s">
        <v>193</v>
      </c>
      <c r="D1915" t="s">
        <v>74</v>
      </c>
      <c r="E1915">
        <v>86</v>
      </c>
      <c r="F1915">
        <v>42</v>
      </c>
      <c r="G1915" s="1">
        <v>4900</v>
      </c>
      <c r="H1915" s="1">
        <v>3970</v>
      </c>
      <c r="I1915" s="1">
        <v>12704</v>
      </c>
      <c r="J1915" s="1">
        <v>3200</v>
      </c>
    </row>
    <row r="1916" spans="1:10" x14ac:dyDescent="0.3">
      <c r="A1916" t="s">
        <v>117</v>
      </c>
      <c r="B1916" t="s">
        <v>7</v>
      </c>
      <c r="C1916" t="s">
        <v>193</v>
      </c>
      <c r="D1916" t="s">
        <v>74</v>
      </c>
      <c r="E1916">
        <v>86</v>
      </c>
      <c r="F1916">
        <v>42</v>
      </c>
      <c r="G1916" s="1">
        <v>8200</v>
      </c>
      <c r="H1916" s="1">
        <v>6260</v>
      </c>
      <c r="I1916" s="1">
        <v>21910</v>
      </c>
      <c r="J1916" s="1">
        <v>3500</v>
      </c>
    </row>
    <row r="1917" spans="1:10" x14ac:dyDescent="0.3">
      <c r="A1917" t="s">
        <v>117</v>
      </c>
      <c r="B1917" t="s">
        <v>6</v>
      </c>
      <c r="C1917" t="s">
        <v>193</v>
      </c>
      <c r="D1917" t="s">
        <v>74</v>
      </c>
      <c r="E1917">
        <v>86</v>
      </c>
      <c r="F1917">
        <v>42</v>
      </c>
      <c r="G1917" s="1">
        <v>8200</v>
      </c>
      <c r="H1917" s="1">
        <v>5060</v>
      </c>
      <c r="I1917" s="1">
        <v>16192</v>
      </c>
      <c r="J1917" s="1">
        <v>3200</v>
      </c>
    </row>
    <row r="1918" spans="1:10" x14ac:dyDescent="0.3">
      <c r="A1918" t="s">
        <v>117</v>
      </c>
      <c r="B1918" t="s">
        <v>5</v>
      </c>
      <c r="C1918" t="s">
        <v>193</v>
      </c>
      <c r="D1918" t="s">
        <v>74</v>
      </c>
      <c r="E1918">
        <v>86</v>
      </c>
      <c r="F1918">
        <v>42</v>
      </c>
      <c r="G1918" s="1">
        <v>8200</v>
      </c>
      <c r="H1918" s="1">
        <v>5300</v>
      </c>
      <c r="I1918" s="1">
        <v>13250</v>
      </c>
      <c r="J1918" s="1">
        <v>2500</v>
      </c>
    </row>
    <row r="1919" spans="1:10" x14ac:dyDescent="0.3">
      <c r="A1919" t="s">
        <v>117</v>
      </c>
      <c r="B1919" t="s">
        <v>4</v>
      </c>
      <c r="C1919" t="s">
        <v>193</v>
      </c>
      <c r="D1919" t="s">
        <v>74</v>
      </c>
      <c r="E1919">
        <v>86</v>
      </c>
      <c r="F1919">
        <v>42</v>
      </c>
      <c r="G1919" s="1">
        <v>7800</v>
      </c>
      <c r="H1919" s="1">
        <v>5210</v>
      </c>
      <c r="I1919" s="1">
        <v>16151</v>
      </c>
      <c r="J1919" s="1">
        <v>3100</v>
      </c>
    </row>
    <row r="1920" spans="1:10" x14ac:dyDescent="0.3">
      <c r="A1920" t="s">
        <v>117</v>
      </c>
      <c r="B1920" t="s">
        <v>3</v>
      </c>
      <c r="C1920" t="s">
        <v>193</v>
      </c>
      <c r="D1920" t="s">
        <v>74</v>
      </c>
      <c r="E1920">
        <v>86</v>
      </c>
      <c r="F1920">
        <v>42</v>
      </c>
      <c r="G1920" s="1">
        <v>7160</v>
      </c>
      <c r="H1920" s="1">
        <v>5930</v>
      </c>
      <c r="I1920" s="1">
        <v>16604</v>
      </c>
      <c r="J1920" s="1">
        <v>2800</v>
      </c>
    </row>
    <row r="1921" spans="1:10" x14ac:dyDescent="0.3">
      <c r="A1921" t="s">
        <v>117</v>
      </c>
      <c r="B1921" t="s">
        <v>18</v>
      </c>
      <c r="C1921" t="s">
        <v>193</v>
      </c>
      <c r="D1921" t="s">
        <v>41</v>
      </c>
      <c r="E1921">
        <v>86</v>
      </c>
      <c r="F1921">
        <v>49</v>
      </c>
      <c r="G1921" s="1">
        <v>1300</v>
      </c>
      <c r="H1921" s="1">
        <v>800</v>
      </c>
      <c r="I1921" s="1">
        <v>3040</v>
      </c>
      <c r="J1921" s="1">
        <v>3800</v>
      </c>
    </row>
    <row r="1922" spans="1:10" x14ac:dyDescent="0.3">
      <c r="A1922" t="s">
        <v>117</v>
      </c>
      <c r="B1922" t="s">
        <v>17</v>
      </c>
      <c r="C1922" t="s">
        <v>193</v>
      </c>
      <c r="D1922" t="s">
        <v>41</v>
      </c>
      <c r="E1922">
        <v>86</v>
      </c>
      <c r="F1922">
        <v>49</v>
      </c>
      <c r="G1922" s="1">
        <v>2500</v>
      </c>
      <c r="H1922" s="1">
        <v>2500</v>
      </c>
      <c r="I1922" s="1">
        <v>9500</v>
      </c>
      <c r="J1922" s="1">
        <v>3800</v>
      </c>
    </row>
    <row r="1923" spans="1:10" x14ac:dyDescent="0.3">
      <c r="A1923" t="s">
        <v>117</v>
      </c>
      <c r="B1923" t="s">
        <v>14</v>
      </c>
      <c r="C1923" t="s">
        <v>193</v>
      </c>
      <c r="D1923" t="s">
        <v>41</v>
      </c>
      <c r="E1923">
        <v>86</v>
      </c>
      <c r="F1923">
        <v>49</v>
      </c>
      <c r="G1923" s="1">
        <v>3500</v>
      </c>
      <c r="H1923" s="1">
        <v>3150</v>
      </c>
      <c r="I1923" s="1">
        <v>14175</v>
      </c>
      <c r="J1923" s="1">
        <v>4500</v>
      </c>
    </row>
    <row r="1924" spans="1:10" x14ac:dyDescent="0.3">
      <c r="A1924" t="s">
        <v>117</v>
      </c>
      <c r="B1924" t="s">
        <v>12</v>
      </c>
      <c r="C1924" t="s">
        <v>193</v>
      </c>
      <c r="D1924" t="s">
        <v>41</v>
      </c>
      <c r="E1924">
        <v>86</v>
      </c>
      <c r="F1924">
        <v>49</v>
      </c>
      <c r="G1924" s="1">
        <v>3000</v>
      </c>
      <c r="H1924" s="1">
        <v>2700</v>
      </c>
      <c r="I1924" s="1">
        <v>8640</v>
      </c>
      <c r="J1924" s="1">
        <v>3200</v>
      </c>
    </row>
    <row r="1925" spans="1:10" x14ac:dyDescent="0.3">
      <c r="A1925" t="s">
        <v>117</v>
      </c>
      <c r="B1925" t="s">
        <v>9</v>
      </c>
      <c r="C1925" t="s">
        <v>193</v>
      </c>
      <c r="D1925" t="s">
        <v>41</v>
      </c>
      <c r="E1925">
        <v>86</v>
      </c>
      <c r="F1925">
        <v>49</v>
      </c>
      <c r="G1925" s="1">
        <v>3000</v>
      </c>
      <c r="H1925" s="1">
        <v>2700</v>
      </c>
      <c r="I1925" s="1">
        <v>13500</v>
      </c>
      <c r="J1925" s="1">
        <v>5000</v>
      </c>
    </row>
    <row r="1926" spans="1:10" x14ac:dyDescent="0.3">
      <c r="A1926" t="s">
        <v>117</v>
      </c>
      <c r="B1926" t="s">
        <v>8</v>
      </c>
      <c r="C1926" t="s">
        <v>193</v>
      </c>
      <c r="D1926" t="s">
        <v>41</v>
      </c>
      <c r="E1926">
        <v>86</v>
      </c>
      <c r="F1926">
        <v>49</v>
      </c>
      <c r="G1926" s="1">
        <v>2500</v>
      </c>
      <c r="H1926" s="1">
        <v>2250</v>
      </c>
      <c r="I1926" s="1">
        <v>10125</v>
      </c>
      <c r="J1926" s="1">
        <v>4500</v>
      </c>
    </row>
    <row r="1927" spans="1:10" x14ac:dyDescent="0.3">
      <c r="A1927" t="s">
        <v>117</v>
      </c>
      <c r="B1927" t="s">
        <v>7</v>
      </c>
      <c r="C1927" t="s">
        <v>193</v>
      </c>
      <c r="D1927" t="s">
        <v>41</v>
      </c>
      <c r="E1927">
        <v>86</v>
      </c>
      <c r="F1927">
        <v>49</v>
      </c>
      <c r="G1927" s="1">
        <v>3500</v>
      </c>
      <c r="H1927" s="1">
        <v>3150</v>
      </c>
      <c r="I1927" s="1">
        <v>15750</v>
      </c>
      <c r="J1927" s="1">
        <v>5000</v>
      </c>
    </row>
    <row r="1928" spans="1:10" x14ac:dyDescent="0.3">
      <c r="A1928" t="s">
        <v>117</v>
      </c>
      <c r="B1928" t="s">
        <v>6</v>
      </c>
      <c r="C1928" t="s">
        <v>193</v>
      </c>
      <c r="D1928" t="s">
        <v>41</v>
      </c>
      <c r="E1928">
        <v>86</v>
      </c>
      <c r="F1928">
        <v>49</v>
      </c>
      <c r="G1928" s="1">
        <v>3500</v>
      </c>
      <c r="H1928" s="1">
        <v>3500</v>
      </c>
      <c r="I1928" s="1">
        <v>15750</v>
      </c>
      <c r="J1928" s="1">
        <v>4500</v>
      </c>
    </row>
    <row r="1929" spans="1:10" x14ac:dyDescent="0.3">
      <c r="A1929" t="s">
        <v>117</v>
      </c>
      <c r="B1929" t="s">
        <v>5</v>
      </c>
      <c r="C1929" t="s">
        <v>193</v>
      </c>
      <c r="D1929" t="s">
        <v>41</v>
      </c>
      <c r="E1929">
        <v>86</v>
      </c>
      <c r="F1929">
        <v>49</v>
      </c>
      <c r="G1929" s="1">
        <v>3500</v>
      </c>
      <c r="H1929" s="1">
        <v>2800</v>
      </c>
      <c r="I1929" s="1">
        <v>12600</v>
      </c>
      <c r="J1929" s="1">
        <v>4500</v>
      </c>
    </row>
    <row r="1930" spans="1:10" x14ac:dyDescent="0.3">
      <c r="A1930" t="s">
        <v>117</v>
      </c>
      <c r="B1930" t="s">
        <v>4</v>
      </c>
      <c r="C1930" t="s">
        <v>193</v>
      </c>
      <c r="D1930" t="s">
        <v>41</v>
      </c>
      <c r="E1930">
        <v>86</v>
      </c>
      <c r="F1930">
        <v>49</v>
      </c>
      <c r="G1930" s="1">
        <v>3500</v>
      </c>
      <c r="H1930" s="1">
        <v>3400</v>
      </c>
      <c r="I1930" s="1">
        <v>15300</v>
      </c>
      <c r="J1930" s="1">
        <v>4500</v>
      </c>
    </row>
    <row r="1931" spans="1:10" x14ac:dyDescent="0.3">
      <c r="A1931" t="s">
        <v>117</v>
      </c>
      <c r="B1931" t="s">
        <v>3</v>
      </c>
      <c r="C1931" t="s">
        <v>193</v>
      </c>
      <c r="D1931" t="s">
        <v>41</v>
      </c>
      <c r="E1931">
        <v>86</v>
      </c>
      <c r="F1931">
        <v>49</v>
      </c>
      <c r="G1931" s="1">
        <v>3850</v>
      </c>
      <c r="H1931" s="1">
        <v>3730</v>
      </c>
      <c r="I1931" s="1">
        <v>15666</v>
      </c>
      <c r="J1931" s="1">
        <v>4200</v>
      </c>
    </row>
    <row r="1932" spans="1:10" x14ac:dyDescent="0.3">
      <c r="A1932" t="s">
        <v>117</v>
      </c>
      <c r="B1932" t="s">
        <v>18</v>
      </c>
      <c r="C1932" t="s">
        <v>193</v>
      </c>
      <c r="D1932" t="s">
        <v>48</v>
      </c>
      <c r="E1932">
        <v>86</v>
      </c>
      <c r="F1932">
        <v>63</v>
      </c>
      <c r="G1932" s="1">
        <v>4400</v>
      </c>
      <c r="H1932" s="1">
        <v>2400</v>
      </c>
      <c r="I1932" s="1">
        <v>7680</v>
      </c>
      <c r="J1932" s="1">
        <v>3200</v>
      </c>
    </row>
    <row r="1933" spans="1:10" x14ac:dyDescent="0.3">
      <c r="A1933" t="s">
        <v>117</v>
      </c>
      <c r="B1933" t="s">
        <v>17</v>
      </c>
      <c r="C1933" t="s">
        <v>193</v>
      </c>
      <c r="D1933" t="s">
        <v>48</v>
      </c>
      <c r="E1933">
        <v>86</v>
      </c>
      <c r="F1933">
        <v>63</v>
      </c>
      <c r="G1933" s="1">
        <v>5000</v>
      </c>
      <c r="H1933" s="1">
        <v>4500</v>
      </c>
      <c r="I1933" s="1">
        <v>15750</v>
      </c>
      <c r="J1933" s="1">
        <v>3500</v>
      </c>
    </row>
    <row r="1934" spans="1:10" x14ac:dyDescent="0.3">
      <c r="A1934" t="s">
        <v>117</v>
      </c>
      <c r="B1934" t="s">
        <v>14</v>
      </c>
      <c r="C1934" t="s">
        <v>193</v>
      </c>
      <c r="D1934" t="s">
        <v>48</v>
      </c>
      <c r="E1934">
        <v>86</v>
      </c>
      <c r="F1934">
        <v>63</v>
      </c>
      <c r="G1934" s="1">
        <v>4000</v>
      </c>
      <c r="H1934" s="1">
        <v>3600</v>
      </c>
      <c r="I1934" s="1">
        <v>15120</v>
      </c>
      <c r="J1934" s="1">
        <v>4200</v>
      </c>
    </row>
    <row r="1935" spans="1:10" x14ac:dyDescent="0.3">
      <c r="A1935" t="s">
        <v>117</v>
      </c>
      <c r="B1935" t="s">
        <v>12</v>
      </c>
      <c r="C1935" t="s">
        <v>193</v>
      </c>
      <c r="D1935" t="s">
        <v>48</v>
      </c>
      <c r="E1935">
        <v>86</v>
      </c>
      <c r="F1935">
        <v>63</v>
      </c>
      <c r="G1935" s="1">
        <v>3000</v>
      </c>
      <c r="H1935" s="1">
        <v>2700</v>
      </c>
      <c r="I1935" s="1">
        <v>8100</v>
      </c>
      <c r="J1935" s="1">
        <v>3000</v>
      </c>
    </row>
    <row r="1936" spans="1:10" x14ac:dyDescent="0.3">
      <c r="A1936" t="s">
        <v>117</v>
      </c>
      <c r="B1936" t="s">
        <v>9</v>
      </c>
      <c r="C1936" t="s">
        <v>193</v>
      </c>
      <c r="D1936" t="s">
        <v>48</v>
      </c>
      <c r="E1936">
        <v>86</v>
      </c>
      <c r="F1936">
        <v>63</v>
      </c>
      <c r="G1936" s="1">
        <v>4000</v>
      </c>
      <c r="H1936" s="1">
        <v>3600</v>
      </c>
      <c r="I1936" s="1">
        <v>18000</v>
      </c>
      <c r="J1936" s="1">
        <v>5000</v>
      </c>
    </row>
    <row r="1937" spans="1:10" x14ac:dyDescent="0.3">
      <c r="A1937" t="s">
        <v>117</v>
      </c>
      <c r="B1937" t="s">
        <v>8</v>
      </c>
      <c r="C1937" t="s">
        <v>193</v>
      </c>
      <c r="D1937" t="s">
        <v>48</v>
      </c>
      <c r="E1937">
        <v>86</v>
      </c>
      <c r="F1937">
        <v>63</v>
      </c>
      <c r="G1937" s="1">
        <v>4500</v>
      </c>
      <c r="H1937" s="1">
        <v>4050</v>
      </c>
      <c r="I1937" s="1">
        <v>18225</v>
      </c>
      <c r="J1937" s="1">
        <v>4500</v>
      </c>
    </row>
    <row r="1938" spans="1:10" x14ac:dyDescent="0.3">
      <c r="A1938" t="s">
        <v>117</v>
      </c>
      <c r="B1938" t="s">
        <v>7</v>
      </c>
      <c r="C1938" t="s">
        <v>193</v>
      </c>
      <c r="D1938" t="s">
        <v>48</v>
      </c>
      <c r="E1938">
        <v>86</v>
      </c>
      <c r="F1938">
        <v>63</v>
      </c>
      <c r="G1938" s="1">
        <v>4500</v>
      </c>
      <c r="H1938" s="1">
        <v>4050</v>
      </c>
      <c r="I1938" s="1">
        <v>18225</v>
      </c>
      <c r="J1938" s="1">
        <v>4500</v>
      </c>
    </row>
    <row r="1939" spans="1:10" x14ac:dyDescent="0.3">
      <c r="A1939" t="s">
        <v>117</v>
      </c>
      <c r="B1939" t="s">
        <v>6</v>
      </c>
      <c r="C1939" t="s">
        <v>193</v>
      </c>
      <c r="D1939" t="s">
        <v>48</v>
      </c>
      <c r="E1939">
        <v>86</v>
      </c>
      <c r="F1939">
        <v>63</v>
      </c>
      <c r="G1939" s="1">
        <v>4500</v>
      </c>
      <c r="H1939" s="1">
        <v>4050</v>
      </c>
      <c r="I1939" s="1">
        <v>18225</v>
      </c>
      <c r="J1939" s="1">
        <v>4500</v>
      </c>
    </row>
    <row r="1940" spans="1:10" x14ac:dyDescent="0.3">
      <c r="A1940" t="s">
        <v>117</v>
      </c>
      <c r="B1940" t="s">
        <v>5</v>
      </c>
      <c r="C1940" t="s">
        <v>193</v>
      </c>
      <c r="D1940" t="s">
        <v>48</v>
      </c>
      <c r="E1940">
        <v>86</v>
      </c>
      <c r="F1940">
        <v>63</v>
      </c>
      <c r="G1940" s="1">
        <v>5000</v>
      </c>
      <c r="H1940" s="1">
        <v>4000</v>
      </c>
      <c r="I1940" s="1">
        <v>18000</v>
      </c>
      <c r="J1940" s="1">
        <v>4500</v>
      </c>
    </row>
    <row r="1941" spans="1:10" x14ac:dyDescent="0.3">
      <c r="A1941" t="s">
        <v>117</v>
      </c>
      <c r="B1941" t="s">
        <v>4</v>
      </c>
      <c r="C1941" t="s">
        <v>193</v>
      </c>
      <c r="D1941" t="s">
        <v>48</v>
      </c>
      <c r="E1941">
        <v>86</v>
      </c>
      <c r="F1941">
        <v>63</v>
      </c>
      <c r="G1941" s="1">
        <v>5000</v>
      </c>
      <c r="H1941" s="1">
        <v>4794</v>
      </c>
      <c r="I1941" s="1">
        <v>19176</v>
      </c>
      <c r="J1941" s="1">
        <v>4000</v>
      </c>
    </row>
    <row r="1942" spans="1:10" x14ac:dyDescent="0.3">
      <c r="A1942" t="s">
        <v>117</v>
      </c>
      <c r="B1942" t="s">
        <v>3</v>
      </c>
      <c r="C1942" t="s">
        <v>193</v>
      </c>
      <c r="D1942" t="s">
        <v>48</v>
      </c>
      <c r="E1942">
        <v>86</v>
      </c>
      <c r="F1942">
        <v>63</v>
      </c>
      <c r="G1942" s="1">
        <v>5500</v>
      </c>
      <c r="H1942" s="1">
        <v>3690</v>
      </c>
      <c r="I1942" s="1">
        <v>16605</v>
      </c>
      <c r="J1942" s="1">
        <v>4500</v>
      </c>
    </row>
    <row r="1943" spans="1:10" x14ac:dyDescent="0.3">
      <c r="A1943" t="s">
        <v>117</v>
      </c>
      <c r="B1943" t="s">
        <v>18</v>
      </c>
      <c r="C1943" t="s">
        <v>193</v>
      </c>
      <c r="D1943" t="s">
        <v>51</v>
      </c>
      <c r="E1943">
        <v>86</v>
      </c>
      <c r="F1943">
        <v>56</v>
      </c>
      <c r="G1943" s="1">
        <v>3500</v>
      </c>
      <c r="H1943" s="1">
        <v>3130</v>
      </c>
      <c r="I1943" s="1">
        <v>9390</v>
      </c>
      <c r="J1943" s="1">
        <v>3000</v>
      </c>
    </row>
    <row r="1944" spans="1:10" x14ac:dyDescent="0.3">
      <c r="A1944" t="s">
        <v>117</v>
      </c>
      <c r="B1944" t="s">
        <v>17</v>
      </c>
      <c r="C1944" t="s">
        <v>193</v>
      </c>
      <c r="D1944" t="s">
        <v>51</v>
      </c>
      <c r="E1944">
        <v>86</v>
      </c>
      <c r="F1944">
        <v>56</v>
      </c>
      <c r="G1944" s="1">
        <v>3500</v>
      </c>
      <c r="H1944" s="1">
        <v>3500</v>
      </c>
      <c r="I1944" s="1">
        <v>12250</v>
      </c>
      <c r="J1944" s="1">
        <v>3500</v>
      </c>
    </row>
    <row r="1945" spans="1:10" x14ac:dyDescent="0.3">
      <c r="A1945" t="s">
        <v>117</v>
      </c>
      <c r="B1945" t="s">
        <v>14</v>
      </c>
      <c r="C1945" t="s">
        <v>193</v>
      </c>
      <c r="D1945" t="s">
        <v>51</v>
      </c>
      <c r="E1945">
        <v>86</v>
      </c>
      <c r="F1945">
        <v>56</v>
      </c>
      <c r="G1945" s="1">
        <v>3500</v>
      </c>
      <c r="H1945" s="1">
        <v>2760</v>
      </c>
      <c r="I1945" s="1">
        <v>8004</v>
      </c>
      <c r="J1945" s="1">
        <v>2900</v>
      </c>
    </row>
    <row r="1946" spans="1:10" x14ac:dyDescent="0.3">
      <c r="A1946" t="s">
        <v>117</v>
      </c>
      <c r="B1946" t="s">
        <v>12</v>
      </c>
      <c r="C1946" t="s">
        <v>193</v>
      </c>
      <c r="D1946" t="s">
        <v>51</v>
      </c>
      <c r="E1946">
        <v>86</v>
      </c>
      <c r="F1946">
        <v>56</v>
      </c>
      <c r="G1946" s="1">
        <v>5300</v>
      </c>
      <c r="H1946" s="1">
        <v>3500</v>
      </c>
      <c r="I1946" s="1">
        <v>10500</v>
      </c>
      <c r="J1946" s="1">
        <v>3000</v>
      </c>
    </row>
    <row r="1947" spans="1:10" x14ac:dyDescent="0.3">
      <c r="A1947" t="s">
        <v>117</v>
      </c>
      <c r="B1947" t="s">
        <v>9</v>
      </c>
      <c r="C1947" t="s">
        <v>193</v>
      </c>
      <c r="D1947" t="s">
        <v>51</v>
      </c>
      <c r="E1947">
        <v>86</v>
      </c>
      <c r="F1947">
        <v>56</v>
      </c>
      <c r="G1947" s="1">
        <v>5035</v>
      </c>
      <c r="H1947" s="1">
        <v>2785</v>
      </c>
      <c r="I1947" s="1">
        <v>8077</v>
      </c>
      <c r="J1947" s="1">
        <v>2900</v>
      </c>
    </row>
    <row r="1948" spans="1:10" x14ac:dyDescent="0.3">
      <c r="A1948" t="s">
        <v>117</v>
      </c>
      <c r="B1948" t="s">
        <v>8</v>
      </c>
      <c r="C1948" t="s">
        <v>193</v>
      </c>
      <c r="D1948" t="s">
        <v>51</v>
      </c>
      <c r="E1948">
        <v>86</v>
      </c>
      <c r="F1948">
        <v>56</v>
      </c>
      <c r="G1948" s="1">
        <v>3500</v>
      </c>
      <c r="H1948" s="1">
        <v>3020</v>
      </c>
      <c r="I1948" s="1">
        <v>3624</v>
      </c>
      <c r="J1948" s="1">
        <v>1200</v>
      </c>
    </row>
    <row r="1949" spans="1:10" x14ac:dyDescent="0.3">
      <c r="A1949" t="s">
        <v>117</v>
      </c>
      <c r="B1949" t="s">
        <v>7</v>
      </c>
      <c r="C1949" t="s">
        <v>193</v>
      </c>
      <c r="D1949" t="s">
        <v>51</v>
      </c>
      <c r="E1949">
        <v>86</v>
      </c>
      <c r="F1949">
        <v>56</v>
      </c>
      <c r="G1949" s="1">
        <v>6050</v>
      </c>
      <c r="H1949" s="1">
        <v>6050</v>
      </c>
      <c r="I1949" s="1">
        <v>21780</v>
      </c>
      <c r="J1949" s="1">
        <v>3600</v>
      </c>
    </row>
    <row r="1950" spans="1:10" x14ac:dyDescent="0.3">
      <c r="A1950" t="s">
        <v>117</v>
      </c>
      <c r="B1950" t="s">
        <v>6</v>
      </c>
      <c r="C1950" t="s">
        <v>193</v>
      </c>
      <c r="D1950" t="s">
        <v>51</v>
      </c>
      <c r="E1950">
        <v>86</v>
      </c>
      <c r="F1950">
        <v>56</v>
      </c>
      <c r="G1950" s="1">
        <v>5460</v>
      </c>
      <c r="H1950" s="1">
        <v>3160</v>
      </c>
      <c r="I1950" s="1">
        <v>7584</v>
      </c>
      <c r="J1950" s="1">
        <v>2400</v>
      </c>
    </row>
    <row r="1951" spans="1:10" x14ac:dyDescent="0.3">
      <c r="A1951" t="s">
        <v>117</v>
      </c>
      <c r="B1951" t="s">
        <v>5</v>
      </c>
      <c r="C1951" t="s">
        <v>193</v>
      </c>
      <c r="D1951" t="s">
        <v>51</v>
      </c>
      <c r="E1951">
        <v>86</v>
      </c>
      <c r="F1951">
        <v>56</v>
      </c>
      <c r="G1951" s="1">
        <v>5747</v>
      </c>
      <c r="H1951" s="1">
        <v>3797</v>
      </c>
      <c r="I1951" s="1">
        <v>7594</v>
      </c>
      <c r="J1951" s="1">
        <v>2000</v>
      </c>
    </row>
    <row r="1952" spans="1:10" x14ac:dyDescent="0.3">
      <c r="A1952" t="s">
        <v>117</v>
      </c>
      <c r="B1952" t="s">
        <v>4</v>
      </c>
      <c r="C1952" t="s">
        <v>193</v>
      </c>
      <c r="D1952" t="s">
        <v>51</v>
      </c>
      <c r="E1952">
        <v>86</v>
      </c>
      <c r="F1952">
        <v>56</v>
      </c>
      <c r="G1952" s="1">
        <v>6100</v>
      </c>
      <c r="H1952" s="1">
        <v>5170</v>
      </c>
      <c r="I1952" s="1">
        <v>13442</v>
      </c>
      <c r="J1952" s="1">
        <v>2600</v>
      </c>
    </row>
    <row r="1953" spans="1:10" x14ac:dyDescent="0.3">
      <c r="A1953" t="s">
        <v>117</v>
      </c>
      <c r="B1953" t="s">
        <v>3</v>
      </c>
      <c r="C1953" t="s">
        <v>193</v>
      </c>
      <c r="D1953" t="s">
        <v>51</v>
      </c>
      <c r="E1953">
        <v>86</v>
      </c>
      <c r="F1953">
        <v>56</v>
      </c>
      <c r="G1953" s="1">
        <v>8400</v>
      </c>
      <c r="H1953" s="1">
        <v>7020</v>
      </c>
      <c r="I1953" s="1">
        <v>11934</v>
      </c>
      <c r="J1953" s="1">
        <v>1700</v>
      </c>
    </row>
    <row r="1954" spans="1:10" x14ac:dyDescent="0.3">
      <c r="A1954" t="s">
        <v>117</v>
      </c>
      <c r="B1954" t="s">
        <v>18</v>
      </c>
      <c r="C1954" t="s">
        <v>193</v>
      </c>
      <c r="D1954" t="s">
        <v>38</v>
      </c>
      <c r="E1954">
        <v>86</v>
      </c>
      <c r="F1954">
        <v>70</v>
      </c>
      <c r="G1954" s="1">
        <v>1300</v>
      </c>
      <c r="H1954" s="1">
        <v>800</v>
      </c>
      <c r="I1954" s="1">
        <v>2560</v>
      </c>
      <c r="J1954" s="1">
        <v>3200</v>
      </c>
    </row>
    <row r="1955" spans="1:10" x14ac:dyDescent="0.3">
      <c r="A1955" t="s">
        <v>117</v>
      </c>
      <c r="B1955" t="s">
        <v>17</v>
      </c>
      <c r="C1955" t="s">
        <v>193</v>
      </c>
      <c r="D1955" t="s">
        <v>38</v>
      </c>
      <c r="E1955">
        <v>86</v>
      </c>
      <c r="F1955">
        <v>70</v>
      </c>
      <c r="G1955" s="1">
        <v>1500</v>
      </c>
      <c r="H1955" s="1">
        <v>1500</v>
      </c>
      <c r="I1955" s="1">
        <v>5250</v>
      </c>
      <c r="J1955" s="1">
        <v>3500</v>
      </c>
    </row>
    <row r="1956" spans="1:10" x14ac:dyDescent="0.3">
      <c r="A1956" t="s">
        <v>117</v>
      </c>
      <c r="B1956" t="s">
        <v>14</v>
      </c>
      <c r="C1956" t="s">
        <v>193</v>
      </c>
      <c r="D1956" t="s">
        <v>38</v>
      </c>
      <c r="E1956">
        <v>86</v>
      </c>
      <c r="F1956">
        <v>70</v>
      </c>
      <c r="G1956" s="1">
        <v>1500</v>
      </c>
      <c r="H1956" s="1">
        <v>1200</v>
      </c>
      <c r="I1956" s="1">
        <v>4800</v>
      </c>
      <c r="J1956" s="1">
        <v>4000</v>
      </c>
    </row>
    <row r="1957" spans="1:10" x14ac:dyDescent="0.3">
      <c r="A1957" t="s">
        <v>117</v>
      </c>
      <c r="B1957" t="s">
        <v>12</v>
      </c>
      <c r="C1957" t="s">
        <v>193</v>
      </c>
      <c r="D1957" t="s">
        <v>38</v>
      </c>
      <c r="E1957">
        <v>86</v>
      </c>
      <c r="F1957">
        <v>70</v>
      </c>
      <c r="G1957" s="1">
        <v>500</v>
      </c>
      <c r="H1957" s="1">
        <v>500</v>
      </c>
      <c r="I1957" s="1">
        <v>1500</v>
      </c>
      <c r="J1957" s="1">
        <v>3000</v>
      </c>
    </row>
    <row r="1958" spans="1:10" x14ac:dyDescent="0.3">
      <c r="A1958" t="s">
        <v>117</v>
      </c>
      <c r="B1958" t="s">
        <v>9</v>
      </c>
      <c r="C1958" t="s">
        <v>193</v>
      </c>
      <c r="D1958" t="s">
        <v>38</v>
      </c>
      <c r="E1958">
        <v>86</v>
      </c>
      <c r="F1958">
        <v>70</v>
      </c>
      <c r="G1958" s="1">
        <v>1000</v>
      </c>
      <c r="H1958" s="1">
        <v>1000</v>
      </c>
      <c r="I1958" s="1">
        <v>3500</v>
      </c>
      <c r="J1958" s="1">
        <v>3500</v>
      </c>
    </row>
    <row r="1959" spans="1:10" x14ac:dyDescent="0.3">
      <c r="A1959" t="s">
        <v>117</v>
      </c>
      <c r="B1959" t="s">
        <v>8</v>
      </c>
      <c r="C1959" t="s">
        <v>193</v>
      </c>
      <c r="D1959" t="s">
        <v>38</v>
      </c>
      <c r="E1959">
        <v>86</v>
      </c>
      <c r="F1959">
        <v>70</v>
      </c>
      <c r="G1959" s="1">
        <v>1000</v>
      </c>
      <c r="H1959" s="1">
        <v>900</v>
      </c>
      <c r="I1959" s="1">
        <v>4050</v>
      </c>
      <c r="J1959" s="1">
        <v>4500</v>
      </c>
    </row>
    <row r="1960" spans="1:10" x14ac:dyDescent="0.3">
      <c r="A1960" t="s">
        <v>117</v>
      </c>
      <c r="B1960" t="s">
        <v>7</v>
      </c>
      <c r="C1960" t="s">
        <v>193</v>
      </c>
      <c r="D1960" t="s">
        <v>38</v>
      </c>
      <c r="E1960">
        <v>86</v>
      </c>
      <c r="F1960">
        <v>70</v>
      </c>
      <c r="G1960" s="1">
        <v>1500</v>
      </c>
      <c r="H1960" s="1">
        <v>1350</v>
      </c>
      <c r="I1960" s="1">
        <v>6075</v>
      </c>
      <c r="J1960" s="1">
        <v>4500</v>
      </c>
    </row>
    <row r="1961" spans="1:10" x14ac:dyDescent="0.3">
      <c r="A1961" t="s">
        <v>117</v>
      </c>
      <c r="B1961" t="s">
        <v>6</v>
      </c>
      <c r="C1961" t="s">
        <v>193</v>
      </c>
      <c r="D1961" t="s">
        <v>38</v>
      </c>
      <c r="E1961">
        <v>86</v>
      </c>
      <c r="F1961">
        <v>70</v>
      </c>
      <c r="G1961" s="1">
        <v>2000</v>
      </c>
      <c r="H1961" s="1">
        <v>1800</v>
      </c>
      <c r="I1961" s="1">
        <v>8100</v>
      </c>
      <c r="J1961" s="1">
        <v>4500</v>
      </c>
    </row>
    <row r="1962" spans="1:10" x14ac:dyDescent="0.3">
      <c r="A1962" t="s">
        <v>117</v>
      </c>
      <c r="B1962" t="s">
        <v>5</v>
      </c>
      <c r="C1962" t="s">
        <v>193</v>
      </c>
      <c r="D1962" t="s">
        <v>38</v>
      </c>
      <c r="E1962">
        <v>86</v>
      </c>
      <c r="F1962">
        <v>70</v>
      </c>
      <c r="G1962" s="1">
        <v>2000</v>
      </c>
      <c r="H1962" s="1">
        <v>1600</v>
      </c>
      <c r="I1962" s="1">
        <v>7200</v>
      </c>
      <c r="J1962" s="1">
        <v>4500</v>
      </c>
    </row>
    <row r="1963" spans="1:10" x14ac:dyDescent="0.3">
      <c r="A1963" t="s">
        <v>117</v>
      </c>
      <c r="B1963" t="s">
        <v>4</v>
      </c>
      <c r="C1963" t="s">
        <v>193</v>
      </c>
      <c r="D1963" t="s">
        <v>38</v>
      </c>
      <c r="E1963">
        <v>86</v>
      </c>
      <c r="F1963">
        <v>70</v>
      </c>
      <c r="G1963" s="1">
        <v>2000</v>
      </c>
      <c r="H1963" s="1">
        <v>1597</v>
      </c>
      <c r="I1963" s="1">
        <v>3993</v>
      </c>
      <c r="J1963" s="1">
        <v>2500</v>
      </c>
    </row>
    <row r="1964" spans="1:10" x14ac:dyDescent="0.3">
      <c r="A1964" t="s">
        <v>117</v>
      </c>
      <c r="B1964" t="s">
        <v>3</v>
      </c>
      <c r="C1964" t="s">
        <v>193</v>
      </c>
      <c r="D1964" t="s">
        <v>38</v>
      </c>
      <c r="E1964">
        <v>86</v>
      </c>
      <c r="F1964">
        <v>70</v>
      </c>
      <c r="G1964" s="1">
        <v>2200</v>
      </c>
      <c r="H1964" s="1">
        <v>1480</v>
      </c>
      <c r="I1964" s="1">
        <v>5920</v>
      </c>
      <c r="J1964" s="1">
        <v>4000</v>
      </c>
    </row>
    <row r="1965" spans="1:10" x14ac:dyDescent="0.3">
      <c r="A1965" t="s">
        <v>117</v>
      </c>
      <c r="B1965" t="s">
        <v>18</v>
      </c>
      <c r="C1965" t="s">
        <v>193</v>
      </c>
      <c r="D1965" t="s">
        <v>75</v>
      </c>
      <c r="E1965">
        <v>86</v>
      </c>
      <c r="F1965">
        <v>77</v>
      </c>
      <c r="G1965" s="1">
        <v>8800</v>
      </c>
      <c r="H1965" s="1">
        <v>7650</v>
      </c>
      <c r="I1965" s="1">
        <v>25250</v>
      </c>
      <c r="J1965" s="1">
        <v>3301</v>
      </c>
    </row>
    <row r="1966" spans="1:10" x14ac:dyDescent="0.3">
      <c r="A1966" t="s">
        <v>117</v>
      </c>
      <c r="B1966" t="s">
        <v>17</v>
      </c>
      <c r="C1966" t="s">
        <v>193</v>
      </c>
      <c r="D1966" t="s">
        <v>75</v>
      </c>
      <c r="E1966">
        <v>86</v>
      </c>
      <c r="F1966">
        <v>77</v>
      </c>
      <c r="G1966" s="1">
        <v>11000</v>
      </c>
      <c r="H1966" s="1">
        <v>11000</v>
      </c>
      <c r="I1966" s="1">
        <v>38500</v>
      </c>
      <c r="J1966" s="1">
        <v>3500</v>
      </c>
    </row>
    <row r="1967" spans="1:10" x14ac:dyDescent="0.3">
      <c r="A1967" t="s">
        <v>117</v>
      </c>
      <c r="B1967" t="s">
        <v>14</v>
      </c>
      <c r="C1967" t="s">
        <v>193</v>
      </c>
      <c r="D1967" t="s">
        <v>75</v>
      </c>
      <c r="E1967">
        <v>86</v>
      </c>
      <c r="F1967">
        <v>77</v>
      </c>
      <c r="G1967" s="1">
        <v>5500</v>
      </c>
      <c r="H1967" s="1">
        <v>4710</v>
      </c>
      <c r="I1967" s="1">
        <v>15543</v>
      </c>
      <c r="J1967" s="1">
        <v>3300</v>
      </c>
    </row>
    <row r="1968" spans="1:10" x14ac:dyDescent="0.3">
      <c r="A1968" t="s">
        <v>117</v>
      </c>
      <c r="B1968" t="s">
        <v>12</v>
      </c>
      <c r="C1968" t="s">
        <v>193</v>
      </c>
      <c r="D1968" t="s">
        <v>75</v>
      </c>
      <c r="E1968">
        <v>86</v>
      </c>
      <c r="F1968">
        <v>77</v>
      </c>
      <c r="G1968" s="1">
        <v>7400</v>
      </c>
      <c r="H1968" s="1">
        <v>3500</v>
      </c>
      <c r="I1968" s="1">
        <v>9800</v>
      </c>
      <c r="J1968" s="1">
        <v>2800</v>
      </c>
    </row>
    <row r="1969" spans="1:10" x14ac:dyDescent="0.3">
      <c r="A1969" t="s">
        <v>117</v>
      </c>
      <c r="B1969" t="s">
        <v>9</v>
      </c>
      <c r="C1969" t="s">
        <v>193</v>
      </c>
      <c r="D1969" t="s">
        <v>75</v>
      </c>
      <c r="E1969">
        <v>86</v>
      </c>
      <c r="F1969">
        <v>77</v>
      </c>
      <c r="G1969" s="1">
        <v>7430</v>
      </c>
      <c r="H1969" s="1">
        <v>3530</v>
      </c>
      <c r="I1969" s="1">
        <v>10590</v>
      </c>
      <c r="J1969" s="1">
        <v>3000</v>
      </c>
    </row>
    <row r="1970" spans="1:10" x14ac:dyDescent="0.3">
      <c r="A1970" t="s">
        <v>117</v>
      </c>
      <c r="B1970" t="s">
        <v>8</v>
      </c>
      <c r="C1970" t="s">
        <v>193</v>
      </c>
      <c r="D1970" t="s">
        <v>75</v>
      </c>
      <c r="E1970">
        <v>86</v>
      </c>
      <c r="F1970">
        <v>77</v>
      </c>
      <c r="G1970" s="1">
        <v>7400</v>
      </c>
      <c r="H1970" s="1">
        <v>4990</v>
      </c>
      <c r="I1970" s="1">
        <v>16467</v>
      </c>
      <c r="J1970" s="1">
        <v>3300</v>
      </c>
    </row>
    <row r="1971" spans="1:10" x14ac:dyDescent="0.3">
      <c r="A1971" t="s">
        <v>117</v>
      </c>
      <c r="B1971" t="s">
        <v>7</v>
      </c>
      <c r="C1971" t="s">
        <v>193</v>
      </c>
      <c r="D1971" t="s">
        <v>75</v>
      </c>
      <c r="E1971">
        <v>86</v>
      </c>
      <c r="F1971">
        <v>77</v>
      </c>
      <c r="G1971" s="1">
        <v>10500</v>
      </c>
      <c r="H1971" s="1">
        <v>7860</v>
      </c>
      <c r="I1971" s="1">
        <v>28296</v>
      </c>
      <c r="J1971" s="1">
        <v>3600</v>
      </c>
    </row>
    <row r="1972" spans="1:10" x14ac:dyDescent="0.3">
      <c r="A1972" t="s">
        <v>117</v>
      </c>
      <c r="B1972" t="s">
        <v>6</v>
      </c>
      <c r="C1972" t="s">
        <v>193</v>
      </c>
      <c r="D1972" t="s">
        <v>75</v>
      </c>
      <c r="E1972">
        <v>86</v>
      </c>
      <c r="F1972">
        <v>77</v>
      </c>
      <c r="G1972" s="1">
        <v>11900</v>
      </c>
      <c r="H1972" s="1">
        <v>7970</v>
      </c>
      <c r="I1972" s="1">
        <v>23910</v>
      </c>
      <c r="J1972" s="1">
        <v>3000</v>
      </c>
    </row>
    <row r="1973" spans="1:10" x14ac:dyDescent="0.3">
      <c r="A1973" t="s">
        <v>117</v>
      </c>
      <c r="B1973" t="s">
        <v>5</v>
      </c>
      <c r="C1973" t="s">
        <v>193</v>
      </c>
      <c r="D1973" t="s">
        <v>75</v>
      </c>
      <c r="E1973">
        <v>86</v>
      </c>
      <c r="F1973">
        <v>77</v>
      </c>
      <c r="G1973" s="1">
        <v>11900</v>
      </c>
      <c r="H1973" s="1">
        <v>8030</v>
      </c>
      <c r="I1973" s="1">
        <v>22484</v>
      </c>
      <c r="J1973" s="1">
        <v>2800</v>
      </c>
    </row>
    <row r="1974" spans="1:10" x14ac:dyDescent="0.3">
      <c r="A1974" t="s">
        <v>117</v>
      </c>
      <c r="B1974" t="s">
        <v>4</v>
      </c>
      <c r="C1974" t="s">
        <v>193</v>
      </c>
      <c r="D1974" t="s">
        <v>75</v>
      </c>
      <c r="E1974">
        <v>86</v>
      </c>
      <c r="F1974">
        <v>77</v>
      </c>
      <c r="G1974" s="1">
        <v>11500</v>
      </c>
      <c r="H1974" s="1">
        <v>8630</v>
      </c>
      <c r="I1974" s="1">
        <v>28479</v>
      </c>
      <c r="J1974" s="1">
        <v>3300</v>
      </c>
    </row>
    <row r="1975" spans="1:10" x14ac:dyDescent="0.3">
      <c r="A1975" t="s">
        <v>117</v>
      </c>
      <c r="B1975" t="s">
        <v>3</v>
      </c>
      <c r="C1975" t="s">
        <v>193</v>
      </c>
      <c r="D1975" t="s">
        <v>75</v>
      </c>
      <c r="E1975">
        <v>86</v>
      </c>
      <c r="F1975">
        <v>77</v>
      </c>
      <c r="G1975" s="1">
        <v>10650</v>
      </c>
      <c r="H1975" s="1">
        <v>7290</v>
      </c>
      <c r="I1975" s="1">
        <v>21141</v>
      </c>
      <c r="J1975" s="1">
        <v>2900</v>
      </c>
    </row>
    <row r="1976" spans="1:10" x14ac:dyDescent="0.3">
      <c r="A1976" t="s">
        <v>117</v>
      </c>
      <c r="B1976" t="s">
        <v>18</v>
      </c>
      <c r="C1976" t="s">
        <v>193</v>
      </c>
      <c r="D1976" t="s">
        <v>54</v>
      </c>
      <c r="E1976">
        <v>86</v>
      </c>
      <c r="F1976">
        <v>84</v>
      </c>
      <c r="G1976" s="1">
        <v>4400</v>
      </c>
      <c r="H1976" s="1">
        <v>3400</v>
      </c>
      <c r="I1976" s="1">
        <v>11900</v>
      </c>
      <c r="J1976" s="1">
        <v>3500</v>
      </c>
    </row>
    <row r="1977" spans="1:10" x14ac:dyDescent="0.3">
      <c r="A1977" t="s">
        <v>117</v>
      </c>
      <c r="B1977" t="s">
        <v>17</v>
      </c>
      <c r="C1977" t="s">
        <v>193</v>
      </c>
      <c r="D1977" t="s">
        <v>54</v>
      </c>
      <c r="E1977">
        <v>86</v>
      </c>
      <c r="F1977">
        <v>84</v>
      </c>
      <c r="G1977" s="1">
        <v>5000</v>
      </c>
      <c r="H1977" s="1">
        <v>4500</v>
      </c>
      <c r="I1977" s="1">
        <v>17100</v>
      </c>
      <c r="J1977" s="1">
        <v>3800</v>
      </c>
    </row>
    <row r="1978" spans="1:10" x14ac:dyDescent="0.3">
      <c r="A1978" t="s">
        <v>117</v>
      </c>
      <c r="B1978" t="s">
        <v>14</v>
      </c>
      <c r="C1978" t="s">
        <v>193</v>
      </c>
      <c r="D1978" t="s">
        <v>54</v>
      </c>
      <c r="E1978">
        <v>86</v>
      </c>
      <c r="F1978">
        <v>84</v>
      </c>
      <c r="G1978" s="1">
        <v>5000</v>
      </c>
      <c r="H1978" s="1">
        <v>4500</v>
      </c>
      <c r="I1978" s="1">
        <v>20250</v>
      </c>
      <c r="J1978" s="1">
        <v>4500</v>
      </c>
    </row>
    <row r="1979" spans="1:10" x14ac:dyDescent="0.3">
      <c r="A1979" t="s">
        <v>117</v>
      </c>
      <c r="B1979" t="s">
        <v>12</v>
      </c>
      <c r="C1979" t="s">
        <v>193</v>
      </c>
      <c r="D1979" t="s">
        <v>54</v>
      </c>
      <c r="E1979">
        <v>86</v>
      </c>
      <c r="F1979">
        <v>84</v>
      </c>
      <c r="G1979" s="1">
        <v>3000</v>
      </c>
      <c r="H1979" s="1">
        <v>2700</v>
      </c>
      <c r="I1979" s="1">
        <v>8100</v>
      </c>
      <c r="J1979" s="1">
        <v>3000</v>
      </c>
    </row>
    <row r="1980" spans="1:10" x14ac:dyDescent="0.3">
      <c r="A1980" t="s">
        <v>117</v>
      </c>
      <c r="B1980" t="s">
        <v>9</v>
      </c>
      <c r="C1980" t="s">
        <v>193</v>
      </c>
      <c r="D1980" t="s">
        <v>54</v>
      </c>
      <c r="E1980">
        <v>86</v>
      </c>
      <c r="F1980">
        <v>84</v>
      </c>
      <c r="G1980" s="1">
        <v>3000</v>
      </c>
      <c r="H1980" s="1">
        <v>2700</v>
      </c>
      <c r="I1980" s="1">
        <v>14850</v>
      </c>
      <c r="J1980" s="1">
        <v>5500</v>
      </c>
    </row>
    <row r="1981" spans="1:10" x14ac:dyDescent="0.3">
      <c r="A1981" t="s">
        <v>117</v>
      </c>
      <c r="B1981" t="s">
        <v>8</v>
      </c>
      <c r="C1981" t="s">
        <v>193</v>
      </c>
      <c r="D1981" t="s">
        <v>54</v>
      </c>
      <c r="E1981">
        <v>86</v>
      </c>
      <c r="F1981">
        <v>84</v>
      </c>
      <c r="G1981" s="1">
        <v>3000</v>
      </c>
      <c r="H1981" s="1">
        <v>2700</v>
      </c>
      <c r="I1981" s="1">
        <v>12150</v>
      </c>
      <c r="J1981" s="1">
        <v>4500</v>
      </c>
    </row>
    <row r="1982" spans="1:10" x14ac:dyDescent="0.3">
      <c r="A1982" t="s">
        <v>117</v>
      </c>
      <c r="B1982" t="s">
        <v>7</v>
      </c>
      <c r="C1982" t="s">
        <v>193</v>
      </c>
      <c r="D1982" t="s">
        <v>54</v>
      </c>
      <c r="E1982">
        <v>86</v>
      </c>
      <c r="F1982">
        <v>84</v>
      </c>
      <c r="G1982" s="1">
        <v>5000</v>
      </c>
      <c r="H1982" s="1">
        <v>4500</v>
      </c>
      <c r="I1982" s="1">
        <v>22500</v>
      </c>
      <c r="J1982" s="1">
        <v>5000</v>
      </c>
    </row>
    <row r="1983" spans="1:10" x14ac:dyDescent="0.3">
      <c r="A1983" t="s">
        <v>117</v>
      </c>
      <c r="B1983" t="s">
        <v>6</v>
      </c>
      <c r="C1983" t="s">
        <v>193</v>
      </c>
      <c r="D1983" t="s">
        <v>54</v>
      </c>
      <c r="E1983">
        <v>86</v>
      </c>
      <c r="F1983">
        <v>84</v>
      </c>
      <c r="G1983" s="1">
        <v>5000</v>
      </c>
      <c r="H1983" s="1">
        <v>4500</v>
      </c>
      <c r="I1983" s="1">
        <v>20250</v>
      </c>
      <c r="J1983" s="1">
        <v>4500</v>
      </c>
    </row>
    <row r="1984" spans="1:10" x14ac:dyDescent="0.3">
      <c r="A1984" t="s">
        <v>117</v>
      </c>
      <c r="B1984" t="s">
        <v>5</v>
      </c>
      <c r="C1984" t="s">
        <v>193</v>
      </c>
      <c r="D1984" t="s">
        <v>54</v>
      </c>
      <c r="E1984">
        <v>86</v>
      </c>
      <c r="F1984">
        <v>84</v>
      </c>
      <c r="G1984" s="1">
        <v>5000</v>
      </c>
      <c r="H1984" s="1">
        <v>4500</v>
      </c>
      <c r="I1984" s="1">
        <v>20250</v>
      </c>
      <c r="J1984" s="1">
        <v>4500</v>
      </c>
    </row>
    <row r="1985" spans="1:10" x14ac:dyDescent="0.3">
      <c r="A1985" t="s">
        <v>117</v>
      </c>
      <c r="B1985" t="s">
        <v>4</v>
      </c>
      <c r="C1985" t="s">
        <v>193</v>
      </c>
      <c r="D1985" t="s">
        <v>54</v>
      </c>
      <c r="E1985">
        <v>86</v>
      </c>
      <c r="F1985">
        <v>84</v>
      </c>
      <c r="G1985" s="1">
        <v>5000</v>
      </c>
      <c r="H1985" s="1">
        <v>3700</v>
      </c>
      <c r="I1985" s="1">
        <v>18500</v>
      </c>
      <c r="J1985" s="1">
        <v>5000</v>
      </c>
    </row>
    <row r="1986" spans="1:10" x14ac:dyDescent="0.3">
      <c r="A1986" t="s">
        <v>117</v>
      </c>
      <c r="B1986" t="s">
        <v>3</v>
      </c>
      <c r="C1986" t="s">
        <v>193</v>
      </c>
      <c r="D1986" t="s">
        <v>54</v>
      </c>
      <c r="E1986">
        <v>86</v>
      </c>
      <c r="F1986">
        <v>84</v>
      </c>
      <c r="G1986" s="1">
        <v>5500</v>
      </c>
      <c r="H1986" s="1">
        <v>3670</v>
      </c>
      <c r="I1986" s="1">
        <v>16515</v>
      </c>
      <c r="J1986" s="1">
        <v>4500</v>
      </c>
    </row>
    <row r="1987" spans="1:10" x14ac:dyDescent="0.3">
      <c r="A1987" t="s">
        <v>117</v>
      </c>
      <c r="B1987" t="s">
        <v>18</v>
      </c>
      <c r="C1987" t="s">
        <v>193</v>
      </c>
      <c r="D1987" t="s">
        <v>70</v>
      </c>
      <c r="E1987">
        <v>86</v>
      </c>
      <c r="F1987">
        <v>91</v>
      </c>
      <c r="G1987" s="1">
        <v>3100</v>
      </c>
      <c r="H1987" s="1">
        <v>2100</v>
      </c>
      <c r="I1987" s="1">
        <v>7770</v>
      </c>
      <c r="J1987" s="1">
        <v>3700</v>
      </c>
    </row>
    <row r="1988" spans="1:10" x14ac:dyDescent="0.3">
      <c r="A1988" t="s">
        <v>117</v>
      </c>
      <c r="B1988" t="s">
        <v>17</v>
      </c>
      <c r="C1988" t="s">
        <v>193</v>
      </c>
      <c r="D1988" t="s">
        <v>70</v>
      </c>
      <c r="E1988">
        <v>86</v>
      </c>
      <c r="F1988">
        <v>91</v>
      </c>
      <c r="G1988" s="1">
        <v>10000</v>
      </c>
      <c r="H1988" s="1">
        <v>10000</v>
      </c>
      <c r="I1988" s="1">
        <v>42000</v>
      </c>
      <c r="J1988" s="1">
        <v>4200</v>
      </c>
    </row>
    <row r="1989" spans="1:10" x14ac:dyDescent="0.3">
      <c r="A1989" t="s">
        <v>117</v>
      </c>
      <c r="B1989" t="s">
        <v>14</v>
      </c>
      <c r="C1989" t="s">
        <v>193</v>
      </c>
      <c r="D1989" t="s">
        <v>70</v>
      </c>
      <c r="E1989">
        <v>86</v>
      </c>
      <c r="F1989">
        <v>91</v>
      </c>
      <c r="G1989" s="1">
        <v>9000</v>
      </c>
      <c r="H1989" s="1">
        <v>8550</v>
      </c>
      <c r="I1989" s="1">
        <v>38475</v>
      </c>
      <c r="J1989" s="1">
        <v>4500</v>
      </c>
    </row>
    <row r="1990" spans="1:10" x14ac:dyDescent="0.3">
      <c r="A1990" t="s">
        <v>117</v>
      </c>
      <c r="B1990" t="s">
        <v>12</v>
      </c>
      <c r="C1990" t="s">
        <v>193</v>
      </c>
      <c r="D1990" t="s">
        <v>70</v>
      </c>
      <c r="E1990">
        <v>86</v>
      </c>
      <c r="F1990">
        <v>91</v>
      </c>
      <c r="G1990" s="1">
        <v>5000</v>
      </c>
      <c r="H1990" s="1">
        <v>4000</v>
      </c>
      <c r="I1990" s="1">
        <v>12800</v>
      </c>
      <c r="J1990" s="1">
        <v>3200</v>
      </c>
    </row>
    <row r="1991" spans="1:10" x14ac:dyDescent="0.3">
      <c r="A1991" t="s">
        <v>117</v>
      </c>
      <c r="B1991" t="s">
        <v>9</v>
      </c>
      <c r="C1991" t="s">
        <v>193</v>
      </c>
      <c r="D1991" t="s">
        <v>70</v>
      </c>
      <c r="E1991">
        <v>86</v>
      </c>
      <c r="F1991">
        <v>91</v>
      </c>
      <c r="G1991" s="1">
        <v>5000</v>
      </c>
      <c r="H1991" s="1">
        <v>4500</v>
      </c>
      <c r="I1991" s="1">
        <v>22500</v>
      </c>
      <c r="J1991" s="1">
        <v>5000</v>
      </c>
    </row>
    <row r="1992" spans="1:10" x14ac:dyDescent="0.3">
      <c r="A1992" t="s">
        <v>117</v>
      </c>
      <c r="B1992" t="s">
        <v>8</v>
      </c>
      <c r="C1992" t="s">
        <v>193</v>
      </c>
      <c r="D1992" t="s">
        <v>70</v>
      </c>
      <c r="E1992">
        <v>86</v>
      </c>
      <c r="F1992">
        <v>91</v>
      </c>
      <c r="G1992" s="1">
        <v>5000</v>
      </c>
      <c r="H1992" s="1">
        <v>4500</v>
      </c>
      <c r="I1992" s="1">
        <v>20250</v>
      </c>
      <c r="J1992" s="1">
        <v>4500</v>
      </c>
    </row>
    <row r="1993" spans="1:10" x14ac:dyDescent="0.3">
      <c r="A1993" t="s">
        <v>117</v>
      </c>
      <c r="B1993" t="s">
        <v>7</v>
      </c>
      <c r="C1993" t="s">
        <v>193</v>
      </c>
      <c r="D1993" t="s">
        <v>70</v>
      </c>
      <c r="E1993">
        <v>86</v>
      </c>
      <c r="F1993">
        <v>91</v>
      </c>
      <c r="G1993" s="1">
        <v>6000</v>
      </c>
      <c r="H1993" s="1">
        <v>5400</v>
      </c>
      <c r="I1993" s="1">
        <v>25920</v>
      </c>
      <c r="J1993" s="1">
        <v>4800</v>
      </c>
    </row>
    <row r="1994" spans="1:10" x14ac:dyDescent="0.3">
      <c r="A1994" t="s">
        <v>117</v>
      </c>
      <c r="B1994" t="s">
        <v>6</v>
      </c>
      <c r="C1994" t="s">
        <v>193</v>
      </c>
      <c r="D1994" t="s">
        <v>70</v>
      </c>
      <c r="E1994">
        <v>86</v>
      </c>
      <c r="F1994">
        <v>91</v>
      </c>
      <c r="G1994" s="1">
        <v>6000</v>
      </c>
      <c r="H1994" s="1">
        <v>5400</v>
      </c>
      <c r="I1994" s="1">
        <v>24300</v>
      </c>
      <c r="J1994" s="1">
        <v>4500</v>
      </c>
    </row>
    <row r="1995" spans="1:10" x14ac:dyDescent="0.3">
      <c r="A1995" t="s">
        <v>117</v>
      </c>
      <c r="B1995" t="s">
        <v>5</v>
      </c>
      <c r="C1995" t="s">
        <v>193</v>
      </c>
      <c r="D1995" t="s">
        <v>70</v>
      </c>
      <c r="E1995">
        <v>86</v>
      </c>
      <c r="F1995">
        <v>91</v>
      </c>
      <c r="G1995" s="1">
        <v>6000</v>
      </c>
      <c r="H1995" s="1">
        <v>4800</v>
      </c>
      <c r="I1995" s="1">
        <v>24000</v>
      </c>
      <c r="J1995" s="1">
        <v>5000</v>
      </c>
    </row>
    <row r="1996" spans="1:10" x14ac:dyDescent="0.3">
      <c r="A1996" t="s">
        <v>117</v>
      </c>
      <c r="B1996" t="s">
        <v>4</v>
      </c>
      <c r="C1996" t="s">
        <v>193</v>
      </c>
      <c r="D1996" t="s">
        <v>70</v>
      </c>
      <c r="E1996">
        <v>86</v>
      </c>
      <c r="F1996">
        <v>91</v>
      </c>
      <c r="G1996" s="1">
        <v>6000</v>
      </c>
      <c r="H1996" s="1">
        <v>4750</v>
      </c>
      <c r="I1996" s="1">
        <v>19000</v>
      </c>
      <c r="J1996" s="1">
        <v>4000</v>
      </c>
    </row>
    <row r="1997" spans="1:10" x14ac:dyDescent="0.3">
      <c r="A1997" t="s">
        <v>117</v>
      </c>
      <c r="B1997" t="s">
        <v>3</v>
      </c>
      <c r="C1997" t="s">
        <v>193</v>
      </c>
      <c r="D1997" t="s">
        <v>70</v>
      </c>
      <c r="E1997">
        <v>86</v>
      </c>
      <c r="F1997">
        <v>91</v>
      </c>
      <c r="G1997" s="1">
        <v>6600</v>
      </c>
      <c r="H1997" s="1">
        <v>4470</v>
      </c>
      <c r="I1997" s="1">
        <v>17880</v>
      </c>
      <c r="J1997" s="1">
        <v>4000</v>
      </c>
    </row>
    <row r="1998" spans="1:10" x14ac:dyDescent="0.3">
      <c r="A1998" t="s">
        <v>117</v>
      </c>
      <c r="B1998" t="s">
        <v>18</v>
      </c>
      <c r="C1998" t="s">
        <v>193</v>
      </c>
      <c r="D1998" t="s">
        <v>69</v>
      </c>
      <c r="E1998">
        <v>86</v>
      </c>
      <c r="F1998">
        <v>98</v>
      </c>
      <c r="G1998" s="1">
        <v>15000</v>
      </c>
      <c r="H1998" s="1">
        <v>13420</v>
      </c>
      <c r="I1998" s="1">
        <v>45630</v>
      </c>
      <c r="J1998" s="1">
        <v>3400</v>
      </c>
    </row>
    <row r="1999" spans="1:10" x14ac:dyDescent="0.3">
      <c r="A1999" t="s">
        <v>117</v>
      </c>
      <c r="B1999" t="s">
        <v>17</v>
      </c>
      <c r="C1999" t="s">
        <v>193</v>
      </c>
      <c r="D1999" t="s">
        <v>69</v>
      </c>
      <c r="E1999">
        <v>86</v>
      </c>
      <c r="F1999">
        <v>98</v>
      </c>
      <c r="G1999" s="1">
        <v>15000</v>
      </c>
      <c r="H1999" s="1">
        <v>15000</v>
      </c>
      <c r="I1999" s="1">
        <v>52500</v>
      </c>
      <c r="J1999" s="1">
        <v>3500</v>
      </c>
    </row>
    <row r="2000" spans="1:10" x14ac:dyDescent="0.3">
      <c r="A2000" t="s">
        <v>117</v>
      </c>
      <c r="B2000" t="s">
        <v>14</v>
      </c>
      <c r="C2000" t="s">
        <v>193</v>
      </c>
      <c r="D2000" t="s">
        <v>69</v>
      </c>
      <c r="E2000">
        <v>86</v>
      </c>
      <c r="F2000">
        <v>98</v>
      </c>
      <c r="G2000" s="1">
        <v>1300</v>
      </c>
      <c r="H2000" s="1">
        <v>1300</v>
      </c>
      <c r="I2000" s="1">
        <v>4160</v>
      </c>
      <c r="J2000" s="1">
        <v>3200</v>
      </c>
    </row>
    <row r="2001" spans="1:10" x14ac:dyDescent="0.3">
      <c r="A2001" t="s">
        <v>117</v>
      </c>
      <c r="B2001" t="s">
        <v>12</v>
      </c>
      <c r="C2001" t="s">
        <v>193</v>
      </c>
      <c r="D2001" t="s">
        <v>69</v>
      </c>
      <c r="E2001">
        <v>86</v>
      </c>
      <c r="F2001">
        <v>98</v>
      </c>
      <c r="G2001" s="1">
        <v>4250</v>
      </c>
      <c r="H2001" s="1">
        <v>1550</v>
      </c>
      <c r="I2001" s="1">
        <v>4340</v>
      </c>
      <c r="J2001" s="1">
        <v>2800</v>
      </c>
    </row>
    <row r="2002" spans="1:10" x14ac:dyDescent="0.3">
      <c r="A2002" t="s">
        <v>117</v>
      </c>
      <c r="B2002" t="s">
        <v>9</v>
      </c>
      <c r="C2002" t="s">
        <v>193</v>
      </c>
      <c r="D2002" t="s">
        <v>69</v>
      </c>
      <c r="E2002">
        <v>86</v>
      </c>
      <c r="F2002">
        <v>98</v>
      </c>
      <c r="G2002" s="1">
        <v>4737</v>
      </c>
      <c r="H2002" s="1">
        <v>1567</v>
      </c>
      <c r="I2002" s="1">
        <v>5014</v>
      </c>
      <c r="J2002" s="1">
        <v>3200</v>
      </c>
    </row>
    <row r="2003" spans="1:10" x14ac:dyDescent="0.3">
      <c r="A2003" t="s">
        <v>117</v>
      </c>
      <c r="B2003" t="s">
        <v>8</v>
      </c>
      <c r="C2003" t="s">
        <v>193</v>
      </c>
      <c r="D2003" t="s">
        <v>69</v>
      </c>
      <c r="E2003">
        <v>86</v>
      </c>
      <c r="F2003">
        <v>98</v>
      </c>
      <c r="G2003" s="1">
        <v>4800</v>
      </c>
      <c r="H2003" s="1">
        <v>3750</v>
      </c>
      <c r="I2003" s="1">
        <v>11625</v>
      </c>
      <c r="J2003" s="1">
        <v>3100</v>
      </c>
    </row>
    <row r="2004" spans="1:10" x14ac:dyDescent="0.3">
      <c r="A2004" t="s">
        <v>117</v>
      </c>
      <c r="B2004" t="s">
        <v>7</v>
      </c>
      <c r="C2004" t="s">
        <v>193</v>
      </c>
      <c r="D2004" t="s">
        <v>69</v>
      </c>
      <c r="E2004">
        <v>86</v>
      </c>
      <c r="F2004">
        <v>98</v>
      </c>
      <c r="G2004" s="1">
        <v>9800</v>
      </c>
      <c r="H2004" s="1">
        <v>8050</v>
      </c>
      <c r="I2004" s="1">
        <v>28980</v>
      </c>
      <c r="J2004" s="1">
        <v>3600</v>
      </c>
    </row>
    <row r="2005" spans="1:10" x14ac:dyDescent="0.3">
      <c r="A2005" t="s">
        <v>117</v>
      </c>
      <c r="B2005" t="s">
        <v>6</v>
      </c>
      <c r="C2005" t="s">
        <v>193</v>
      </c>
      <c r="D2005" t="s">
        <v>69</v>
      </c>
      <c r="E2005">
        <v>86</v>
      </c>
      <c r="F2005">
        <v>98</v>
      </c>
      <c r="G2005" s="1">
        <v>9800</v>
      </c>
      <c r="H2005" s="1">
        <v>7600</v>
      </c>
      <c r="I2005" s="1">
        <v>24320</v>
      </c>
      <c r="J2005" s="1">
        <v>3200</v>
      </c>
    </row>
    <row r="2006" spans="1:10" x14ac:dyDescent="0.3">
      <c r="A2006" t="s">
        <v>117</v>
      </c>
      <c r="B2006" t="s">
        <v>5</v>
      </c>
      <c r="C2006" t="s">
        <v>193</v>
      </c>
      <c r="D2006" t="s">
        <v>69</v>
      </c>
      <c r="E2006">
        <v>86</v>
      </c>
      <c r="F2006">
        <v>98</v>
      </c>
      <c r="G2006" s="1">
        <v>9800</v>
      </c>
      <c r="H2006" s="1">
        <v>6700</v>
      </c>
      <c r="I2006" s="1">
        <v>18760</v>
      </c>
      <c r="J2006" s="1">
        <v>2800</v>
      </c>
    </row>
    <row r="2007" spans="1:10" x14ac:dyDescent="0.3">
      <c r="A2007" t="s">
        <v>117</v>
      </c>
      <c r="B2007" t="s">
        <v>4</v>
      </c>
      <c r="C2007" t="s">
        <v>193</v>
      </c>
      <c r="D2007" t="s">
        <v>69</v>
      </c>
      <c r="E2007">
        <v>86</v>
      </c>
      <c r="F2007">
        <v>98</v>
      </c>
      <c r="G2007" s="1">
        <v>9500</v>
      </c>
      <c r="H2007" s="1">
        <v>6900</v>
      </c>
      <c r="I2007" s="1">
        <v>20700</v>
      </c>
      <c r="J2007" s="1">
        <v>3000</v>
      </c>
    </row>
    <row r="2008" spans="1:10" x14ac:dyDescent="0.3">
      <c r="A2008" t="s">
        <v>117</v>
      </c>
      <c r="B2008" t="s">
        <v>3</v>
      </c>
      <c r="C2008" t="s">
        <v>193</v>
      </c>
      <c r="D2008" t="s">
        <v>69</v>
      </c>
      <c r="E2008">
        <v>86</v>
      </c>
      <c r="F2008">
        <v>98</v>
      </c>
      <c r="G2008" s="1">
        <v>10070</v>
      </c>
      <c r="H2008" s="1">
        <v>6960</v>
      </c>
      <c r="I2008" s="1">
        <v>12528</v>
      </c>
      <c r="J2008" s="1">
        <v>1800</v>
      </c>
    </row>
    <row r="2009" spans="1:10" x14ac:dyDescent="0.3">
      <c r="A2009" t="s">
        <v>117</v>
      </c>
      <c r="B2009" t="s">
        <v>18</v>
      </c>
      <c r="C2009" t="s">
        <v>193</v>
      </c>
      <c r="D2009" t="s">
        <v>31</v>
      </c>
      <c r="E2009">
        <v>86</v>
      </c>
      <c r="F2009">
        <v>105</v>
      </c>
      <c r="G2009" s="1">
        <v>2200</v>
      </c>
      <c r="H2009" s="1">
        <v>1700</v>
      </c>
      <c r="I2009" s="1">
        <v>5950</v>
      </c>
      <c r="J2009" s="1">
        <v>3500</v>
      </c>
    </row>
    <row r="2010" spans="1:10" x14ac:dyDescent="0.3">
      <c r="A2010" t="s">
        <v>117</v>
      </c>
      <c r="B2010" t="s">
        <v>17</v>
      </c>
      <c r="C2010" t="s">
        <v>193</v>
      </c>
      <c r="D2010" t="s">
        <v>31</v>
      </c>
      <c r="E2010">
        <v>86</v>
      </c>
      <c r="F2010">
        <v>105</v>
      </c>
      <c r="G2010" s="1">
        <v>3000</v>
      </c>
      <c r="H2010" s="1">
        <v>2500</v>
      </c>
      <c r="I2010" s="1">
        <v>8750</v>
      </c>
      <c r="J2010" s="1">
        <v>3500</v>
      </c>
    </row>
    <row r="2011" spans="1:10" x14ac:dyDescent="0.3">
      <c r="A2011" t="s">
        <v>117</v>
      </c>
      <c r="B2011" t="s">
        <v>14</v>
      </c>
      <c r="C2011" t="s">
        <v>193</v>
      </c>
      <c r="D2011" t="s">
        <v>31</v>
      </c>
      <c r="E2011">
        <v>86</v>
      </c>
      <c r="F2011">
        <v>105</v>
      </c>
      <c r="G2011" s="1">
        <v>3000</v>
      </c>
      <c r="H2011" s="1">
        <v>2700</v>
      </c>
      <c r="I2011" s="1">
        <v>12150</v>
      </c>
      <c r="J2011" s="1">
        <v>4500</v>
      </c>
    </row>
    <row r="2012" spans="1:10" x14ac:dyDescent="0.3">
      <c r="A2012" t="s">
        <v>117</v>
      </c>
      <c r="B2012" t="s">
        <v>12</v>
      </c>
      <c r="C2012" t="s">
        <v>193</v>
      </c>
      <c r="D2012" t="s">
        <v>31</v>
      </c>
      <c r="E2012">
        <v>86</v>
      </c>
      <c r="F2012">
        <v>105</v>
      </c>
      <c r="G2012" s="1">
        <v>1000</v>
      </c>
      <c r="H2012" s="1">
        <v>900</v>
      </c>
      <c r="I2012" s="1">
        <v>2700</v>
      </c>
      <c r="J2012" s="1">
        <v>3000</v>
      </c>
    </row>
    <row r="2013" spans="1:10" x14ac:dyDescent="0.3">
      <c r="A2013" t="s">
        <v>117</v>
      </c>
      <c r="B2013" t="s">
        <v>9</v>
      </c>
      <c r="C2013" t="s">
        <v>193</v>
      </c>
      <c r="D2013" t="s">
        <v>31</v>
      </c>
      <c r="E2013">
        <v>86</v>
      </c>
      <c r="F2013">
        <v>105</v>
      </c>
      <c r="G2013" s="1">
        <v>1000</v>
      </c>
      <c r="H2013" s="1">
        <v>900</v>
      </c>
      <c r="I2013" s="1">
        <v>3600</v>
      </c>
      <c r="J2013" s="1">
        <v>4000</v>
      </c>
    </row>
    <row r="2014" spans="1:10" x14ac:dyDescent="0.3">
      <c r="A2014" t="s">
        <v>117</v>
      </c>
      <c r="B2014" t="s">
        <v>8</v>
      </c>
      <c r="C2014" t="s">
        <v>193</v>
      </c>
      <c r="D2014" t="s">
        <v>31</v>
      </c>
      <c r="E2014">
        <v>86</v>
      </c>
      <c r="F2014">
        <v>105</v>
      </c>
      <c r="G2014" s="1">
        <v>1000</v>
      </c>
      <c r="H2014" s="1">
        <v>900</v>
      </c>
      <c r="I2014" s="1">
        <v>4050</v>
      </c>
      <c r="J2014" s="1">
        <v>4500</v>
      </c>
    </row>
    <row r="2015" spans="1:10" x14ac:dyDescent="0.3">
      <c r="A2015" t="s">
        <v>117</v>
      </c>
      <c r="B2015" t="s">
        <v>7</v>
      </c>
      <c r="C2015" t="s">
        <v>193</v>
      </c>
      <c r="D2015" t="s">
        <v>31</v>
      </c>
      <c r="E2015">
        <v>86</v>
      </c>
      <c r="F2015">
        <v>105</v>
      </c>
      <c r="G2015" s="1">
        <v>2250</v>
      </c>
      <c r="H2015" s="1">
        <v>2025</v>
      </c>
      <c r="I2015" s="1">
        <v>9113</v>
      </c>
      <c r="J2015" s="1">
        <v>4500</v>
      </c>
    </row>
    <row r="2016" spans="1:10" x14ac:dyDescent="0.3">
      <c r="A2016" t="s">
        <v>117</v>
      </c>
      <c r="B2016" t="s">
        <v>6</v>
      </c>
      <c r="C2016" t="s">
        <v>193</v>
      </c>
      <c r="D2016" t="s">
        <v>31</v>
      </c>
      <c r="E2016">
        <v>86</v>
      </c>
      <c r="F2016">
        <v>105</v>
      </c>
      <c r="G2016" s="1">
        <v>2500</v>
      </c>
      <c r="H2016" s="1">
        <v>2250</v>
      </c>
      <c r="I2016" s="1">
        <v>10125</v>
      </c>
      <c r="J2016" s="1">
        <v>4500</v>
      </c>
    </row>
    <row r="2017" spans="1:10" x14ac:dyDescent="0.3">
      <c r="A2017" t="s">
        <v>117</v>
      </c>
      <c r="B2017" t="s">
        <v>5</v>
      </c>
      <c r="C2017" t="s">
        <v>193</v>
      </c>
      <c r="D2017" t="s">
        <v>31</v>
      </c>
      <c r="E2017">
        <v>86</v>
      </c>
      <c r="F2017">
        <v>105</v>
      </c>
      <c r="G2017" s="1">
        <v>2500</v>
      </c>
      <c r="H2017" s="1">
        <v>2000</v>
      </c>
      <c r="I2017" s="1">
        <v>11000</v>
      </c>
      <c r="J2017" s="1">
        <v>5500</v>
      </c>
    </row>
    <row r="2018" spans="1:10" x14ac:dyDescent="0.3">
      <c r="A2018" t="s">
        <v>117</v>
      </c>
      <c r="B2018" t="s">
        <v>4</v>
      </c>
      <c r="C2018" t="s">
        <v>193</v>
      </c>
      <c r="D2018" t="s">
        <v>31</v>
      </c>
      <c r="E2018">
        <v>86</v>
      </c>
      <c r="F2018">
        <v>105</v>
      </c>
      <c r="G2018" s="1">
        <v>2500</v>
      </c>
      <c r="H2018" s="1">
        <v>1940</v>
      </c>
      <c r="I2018" s="1">
        <v>5432</v>
      </c>
      <c r="J2018" s="1">
        <v>2800</v>
      </c>
    </row>
    <row r="2019" spans="1:10" x14ac:dyDescent="0.3">
      <c r="A2019" t="s">
        <v>117</v>
      </c>
      <c r="B2019" t="s">
        <v>3</v>
      </c>
      <c r="C2019" t="s">
        <v>193</v>
      </c>
      <c r="D2019" t="s">
        <v>31</v>
      </c>
      <c r="E2019">
        <v>86</v>
      </c>
      <c r="F2019">
        <v>105</v>
      </c>
      <c r="G2019" s="1">
        <v>2750</v>
      </c>
      <c r="H2019" s="1">
        <v>2750</v>
      </c>
      <c r="I2019" s="1">
        <v>11825</v>
      </c>
      <c r="J2019" s="1">
        <v>4300</v>
      </c>
    </row>
    <row r="2020" spans="1:10" x14ac:dyDescent="0.3">
      <c r="A2020" t="s">
        <v>117</v>
      </c>
      <c r="B2020" t="s">
        <v>18</v>
      </c>
      <c r="C2020" t="s">
        <v>193</v>
      </c>
      <c r="D2020" t="s">
        <v>56</v>
      </c>
      <c r="E2020">
        <v>86</v>
      </c>
      <c r="F2020">
        <v>112</v>
      </c>
      <c r="G2020" s="1">
        <v>3950</v>
      </c>
      <c r="H2020" s="1">
        <v>2950</v>
      </c>
      <c r="I2020" s="1">
        <v>10330</v>
      </c>
      <c r="J2020" s="1">
        <v>3502</v>
      </c>
    </row>
    <row r="2021" spans="1:10" x14ac:dyDescent="0.3">
      <c r="A2021" t="s">
        <v>117</v>
      </c>
      <c r="B2021" t="s">
        <v>17</v>
      </c>
      <c r="C2021" t="s">
        <v>193</v>
      </c>
      <c r="D2021" t="s">
        <v>56</v>
      </c>
      <c r="E2021">
        <v>86</v>
      </c>
      <c r="F2021">
        <v>112</v>
      </c>
      <c r="G2021" s="1">
        <v>6000</v>
      </c>
      <c r="H2021" s="1">
        <v>6000</v>
      </c>
      <c r="I2021" s="1">
        <v>22800</v>
      </c>
      <c r="J2021" s="1">
        <v>3800</v>
      </c>
    </row>
    <row r="2022" spans="1:10" x14ac:dyDescent="0.3">
      <c r="A2022" t="s">
        <v>117</v>
      </c>
      <c r="B2022" t="s">
        <v>14</v>
      </c>
      <c r="C2022" t="s">
        <v>193</v>
      </c>
      <c r="D2022" t="s">
        <v>56</v>
      </c>
      <c r="E2022">
        <v>86</v>
      </c>
      <c r="F2022">
        <v>112</v>
      </c>
      <c r="G2022" s="1">
        <v>5000</v>
      </c>
      <c r="H2022" s="1">
        <v>4000</v>
      </c>
      <c r="I2022" s="1">
        <v>19200</v>
      </c>
      <c r="J2022" s="1">
        <v>4800</v>
      </c>
    </row>
    <row r="2023" spans="1:10" x14ac:dyDescent="0.3">
      <c r="A2023" t="s">
        <v>117</v>
      </c>
      <c r="B2023" t="s">
        <v>12</v>
      </c>
      <c r="C2023" t="s">
        <v>193</v>
      </c>
      <c r="D2023" t="s">
        <v>56</v>
      </c>
      <c r="E2023">
        <v>86</v>
      </c>
      <c r="F2023">
        <v>112</v>
      </c>
      <c r="G2023" s="1">
        <v>3500</v>
      </c>
      <c r="H2023" s="1">
        <v>3150</v>
      </c>
      <c r="I2023" s="1">
        <v>6300</v>
      </c>
      <c r="J2023" s="1">
        <v>2000</v>
      </c>
    </row>
    <row r="2024" spans="1:10" x14ac:dyDescent="0.3">
      <c r="A2024" t="s">
        <v>117</v>
      </c>
      <c r="B2024" t="s">
        <v>9</v>
      </c>
      <c r="C2024" t="s">
        <v>193</v>
      </c>
      <c r="D2024" t="s">
        <v>56</v>
      </c>
      <c r="E2024">
        <v>86</v>
      </c>
      <c r="F2024">
        <v>112</v>
      </c>
      <c r="G2024" s="1">
        <v>3500</v>
      </c>
      <c r="H2024" s="1">
        <v>3000</v>
      </c>
      <c r="I2024" s="1">
        <v>15000</v>
      </c>
      <c r="J2024" s="1">
        <v>5000</v>
      </c>
    </row>
    <row r="2025" spans="1:10" x14ac:dyDescent="0.3">
      <c r="A2025" t="s">
        <v>117</v>
      </c>
      <c r="B2025" t="s">
        <v>8</v>
      </c>
      <c r="C2025" t="s">
        <v>193</v>
      </c>
      <c r="D2025" t="s">
        <v>56</v>
      </c>
      <c r="E2025">
        <v>86</v>
      </c>
      <c r="F2025">
        <v>112</v>
      </c>
      <c r="G2025" s="1">
        <v>3500</v>
      </c>
      <c r="H2025" s="1">
        <v>3150</v>
      </c>
      <c r="I2025" s="1">
        <v>14175</v>
      </c>
      <c r="J2025" s="1">
        <v>4500</v>
      </c>
    </row>
    <row r="2026" spans="1:10" x14ac:dyDescent="0.3">
      <c r="A2026" t="s">
        <v>117</v>
      </c>
      <c r="B2026" t="s">
        <v>7</v>
      </c>
      <c r="C2026" t="s">
        <v>193</v>
      </c>
      <c r="D2026" t="s">
        <v>56</v>
      </c>
      <c r="E2026">
        <v>86</v>
      </c>
      <c r="F2026">
        <v>112</v>
      </c>
      <c r="G2026" s="1">
        <v>6500</v>
      </c>
      <c r="H2026" s="1">
        <v>5850</v>
      </c>
      <c r="I2026" s="1">
        <v>26325</v>
      </c>
      <c r="J2026" s="1">
        <v>4500</v>
      </c>
    </row>
    <row r="2027" spans="1:10" x14ac:dyDescent="0.3">
      <c r="A2027" t="s">
        <v>117</v>
      </c>
      <c r="B2027" t="s">
        <v>6</v>
      </c>
      <c r="C2027" t="s">
        <v>193</v>
      </c>
      <c r="D2027" t="s">
        <v>56</v>
      </c>
      <c r="E2027">
        <v>86</v>
      </c>
      <c r="F2027">
        <v>112</v>
      </c>
      <c r="G2027" s="1">
        <v>6500</v>
      </c>
      <c r="H2027" s="1">
        <v>5850</v>
      </c>
      <c r="I2027" s="1">
        <v>26325</v>
      </c>
      <c r="J2027" s="1">
        <v>4500</v>
      </c>
    </row>
    <row r="2028" spans="1:10" x14ac:dyDescent="0.3">
      <c r="A2028" t="s">
        <v>117</v>
      </c>
      <c r="B2028" t="s">
        <v>5</v>
      </c>
      <c r="C2028" t="s">
        <v>193</v>
      </c>
      <c r="D2028" t="s">
        <v>56</v>
      </c>
      <c r="E2028">
        <v>86</v>
      </c>
      <c r="F2028">
        <v>112</v>
      </c>
      <c r="G2028" s="1">
        <v>6500</v>
      </c>
      <c r="H2028" s="1">
        <v>5200</v>
      </c>
      <c r="I2028" s="1">
        <v>28600</v>
      </c>
      <c r="J2028" s="1">
        <v>5500</v>
      </c>
    </row>
    <row r="2029" spans="1:10" x14ac:dyDescent="0.3">
      <c r="A2029" t="s">
        <v>117</v>
      </c>
      <c r="B2029" t="s">
        <v>4</v>
      </c>
      <c r="C2029" t="s">
        <v>193</v>
      </c>
      <c r="D2029" t="s">
        <v>56</v>
      </c>
      <c r="E2029">
        <v>86</v>
      </c>
      <c r="F2029">
        <v>112</v>
      </c>
      <c r="G2029" s="1">
        <v>6500</v>
      </c>
      <c r="H2029" s="1">
        <v>5200</v>
      </c>
      <c r="I2029" s="1">
        <v>13000</v>
      </c>
      <c r="J2029" s="1">
        <v>2500</v>
      </c>
    </row>
    <row r="2030" spans="1:10" x14ac:dyDescent="0.3">
      <c r="A2030" t="s">
        <v>117</v>
      </c>
      <c r="B2030" t="s">
        <v>3</v>
      </c>
      <c r="C2030" t="s">
        <v>193</v>
      </c>
      <c r="D2030" t="s">
        <v>56</v>
      </c>
      <c r="E2030">
        <v>86</v>
      </c>
      <c r="F2030">
        <v>112</v>
      </c>
      <c r="G2030" s="1">
        <v>7150</v>
      </c>
      <c r="H2030" s="1">
        <v>7150</v>
      </c>
      <c r="I2030" s="1">
        <v>28600</v>
      </c>
      <c r="J2030" s="1">
        <v>4000</v>
      </c>
    </row>
    <row r="2031" spans="1:10" x14ac:dyDescent="0.3">
      <c r="A2031" t="s">
        <v>117</v>
      </c>
      <c r="B2031" t="s">
        <v>18</v>
      </c>
      <c r="C2031" t="s">
        <v>193</v>
      </c>
      <c r="D2031" t="s">
        <v>72</v>
      </c>
      <c r="E2031">
        <v>86</v>
      </c>
      <c r="F2031">
        <v>119</v>
      </c>
      <c r="G2031" s="1">
        <v>22000</v>
      </c>
      <c r="H2031" s="1">
        <v>19690</v>
      </c>
      <c r="I2031" s="1">
        <v>61040</v>
      </c>
      <c r="J2031" s="1">
        <v>3100</v>
      </c>
    </row>
    <row r="2032" spans="1:10" x14ac:dyDescent="0.3">
      <c r="A2032" t="s">
        <v>117</v>
      </c>
      <c r="B2032" t="s">
        <v>17</v>
      </c>
      <c r="C2032" t="s">
        <v>193</v>
      </c>
      <c r="D2032" t="s">
        <v>72</v>
      </c>
      <c r="E2032">
        <v>86</v>
      </c>
      <c r="F2032">
        <v>119</v>
      </c>
      <c r="G2032" s="1">
        <v>22000</v>
      </c>
      <c r="H2032" s="1">
        <v>22000</v>
      </c>
      <c r="I2032" s="1">
        <v>77000</v>
      </c>
      <c r="J2032" s="1">
        <v>3500</v>
      </c>
    </row>
    <row r="2033" spans="1:10" x14ac:dyDescent="0.3">
      <c r="A2033" t="s">
        <v>117</v>
      </c>
      <c r="B2033" t="s">
        <v>14</v>
      </c>
      <c r="C2033" t="s">
        <v>193</v>
      </c>
      <c r="D2033" t="s">
        <v>72</v>
      </c>
      <c r="E2033">
        <v>86</v>
      </c>
      <c r="F2033">
        <v>119</v>
      </c>
      <c r="G2033" s="1">
        <v>2500</v>
      </c>
      <c r="H2033" s="1">
        <v>2500</v>
      </c>
      <c r="I2033" s="1">
        <v>8250</v>
      </c>
      <c r="J2033" s="1">
        <v>3300</v>
      </c>
    </row>
    <row r="2034" spans="1:10" x14ac:dyDescent="0.3">
      <c r="A2034" t="s">
        <v>117</v>
      </c>
      <c r="B2034" t="s">
        <v>12</v>
      </c>
      <c r="C2034" t="s">
        <v>193</v>
      </c>
      <c r="D2034" t="s">
        <v>72</v>
      </c>
      <c r="E2034">
        <v>86</v>
      </c>
      <c r="F2034">
        <v>119</v>
      </c>
      <c r="G2034" s="1">
        <v>8900</v>
      </c>
      <c r="H2034" s="1">
        <v>2700</v>
      </c>
      <c r="I2034" s="1">
        <v>7560</v>
      </c>
      <c r="J2034" s="1">
        <v>2800</v>
      </c>
    </row>
    <row r="2035" spans="1:10" x14ac:dyDescent="0.3">
      <c r="A2035" t="s">
        <v>117</v>
      </c>
      <c r="B2035" t="s">
        <v>9</v>
      </c>
      <c r="C2035" t="s">
        <v>193</v>
      </c>
      <c r="D2035" t="s">
        <v>72</v>
      </c>
      <c r="E2035">
        <v>86</v>
      </c>
      <c r="F2035">
        <v>119</v>
      </c>
      <c r="G2035" s="1">
        <v>12015</v>
      </c>
      <c r="H2035" s="1">
        <v>4565</v>
      </c>
      <c r="I2035" s="1">
        <v>15521</v>
      </c>
      <c r="J2035" s="1">
        <v>3400</v>
      </c>
    </row>
    <row r="2036" spans="1:10" x14ac:dyDescent="0.3">
      <c r="A2036" t="s">
        <v>117</v>
      </c>
      <c r="B2036" t="s">
        <v>8</v>
      </c>
      <c r="C2036" t="s">
        <v>193</v>
      </c>
      <c r="D2036" t="s">
        <v>72</v>
      </c>
      <c r="E2036">
        <v>86</v>
      </c>
      <c r="F2036">
        <v>119</v>
      </c>
      <c r="G2036" s="1">
        <v>16500</v>
      </c>
      <c r="H2036" s="1">
        <v>11160</v>
      </c>
      <c r="I2036" s="1">
        <v>36828</v>
      </c>
      <c r="J2036" s="1">
        <v>3300</v>
      </c>
    </row>
    <row r="2037" spans="1:10" x14ac:dyDescent="0.3">
      <c r="A2037" t="s">
        <v>117</v>
      </c>
      <c r="B2037" t="s">
        <v>7</v>
      </c>
      <c r="C2037" t="s">
        <v>193</v>
      </c>
      <c r="D2037" t="s">
        <v>72</v>
      </c>
      <c r="E2037">
        <v>86</v>
      </c>
      <c r="F2037">
        <v>119</v>
      </c>
      <c r="G2037" s="1">
        <v>20000</v>
      </c>
      <c r="H2037" s="1">
        <v>11660</v>
      </c>
      <c r="I2037" s="1">
        <v>40810</v>
      </c>
      <c r="J2037" s="1">
        <v>3500</v>
      </c>
    </row>
    <row r="2038" spans="1:10" x14ac:dyDescent="0.3">
      <c r="A2038" t="s">
        <v>117</v>
      </c>
      <c r="B2038" t="s">
        <v>6</v>
      </c>
      <c r="C2038" t="s">
        <v>193</v>
      </c>
      <c r="D2038" t="s">
        <v>72</v>
      </c>
      <c r="E2038">
        <v>86</v>
      </c>
      <c r="F2038">
        <v>119</v>
      </c>
      <c r="G2038" s="1">
        <v>22750</v>
      </c>
      <c r="H2038" s="1">
        <v>15120</v>
      </c>
      <c r="I2038" s="1">
        <v>48384</v>
      </c>
      <c r="J2038" s="1">
        <v>3200</v>
      </c>
    </row>
    <row r="2039" spans="1:10" x14ac:dyDescent="0.3">
      <c r="A2039" t="s">
        <v>117</v>
      </c>
      <c r="B2039" t="s">
        <v>5</v>
      </c>
      <c r="C2039" t="s">
        <v>193</v>
      </c>
      <c r="D2039" t="s">
        <v>72</v>
      </c>
      <c r="E2039">
        <v>86</v>
      </c>
      <c r="F2039">
        <v>119</v>
      </c>
      <c r="G2039" s="1">
        <v>22750</v>
      </c>
      <c r="H2039" s="1">
        <v>14650</v>
      </c>
      <c r="I2039" s="1">
        <v>42485</v>
      </c>
      <c r="J2039" s="1">
        <v>2900</v>
      </c>
    </row>
    <row r="2040" spans="1:10" x14ac:dyDescent="0.3">
      <c r="A2040" t="s">
        <v>117</v>
      </c>
      <c r="B2040" t="s">
        <v>4</v>
      </c>
      <c r="C2040" t="s">
        <v>193</v>
      </c>
      <c r="D2040" t="s">
        <v>72</v>
      </c>
      <c r="E2040">
        <v>86</v>
      </c>
      <c r="F2040">
        <v>119</v>
      </c>
      <c r="G2040" s="1">
        <v>24500</v>
      </c>
      <c r="H2040" s="1">
        <v>16640</v>
      </c>
      <c r="I2040" s="1">
        <v>39936</v>
      </c>
      <c r="J2040" s="1">
        <v>2400</v>
      </c>
    </row>
    <row r="2041" spans="1:10" x14ac:dyDescent="0.3">
      <c r="A2041" t="s">
        <v>117</v>
      </c>
      <c r="B2041" t="s">
        <v>3</v>
      </c>
      <c r="C2041" t="s">
        <v>193</v>
      </c>
      <c r="D2041" t="s">
        <v>72</v>
      </c>
      <c r="E2041">
        <v>86</v>
      </c>
      <c r="F2041">
        <v>119</v>
      </c>
      <c r="G2041" s="1">
        <v>22900</v>
      </c>
      <c r="H2041" s="1">
        <v>14060</v>
      </c>
      <c r="I2041" s="1">
        <v>22496</v>
      </c>
      <c r="J2041" s="1">
        <v>1600</v>
      </c>
    </row>
    <row r="2042" spans="1:10" x14ac:dyDescent="0.3">
      <c r="A2042" t="s">
        <v>117</v>
      </c>
      <c r="B2042" t="s">
        <v>7</v>
      </c>
      <c r="C2042" t="s">
        <v>193</v>
      </c>
      <c r="D2042" t="s">
        <v>46</v>
      </c>
      <c r="E2042">
        <v>86</v>
      </c>
      <c r="F2042">
        <v>126</v>
      </c>
      <c r="G2042" s="1">
        <v>3200</v>
      </c>
      <c r="H2042" s="1">
        <v>2880</v>
      </c>
      <c r="I2042" s="1">
        <v>12960</v>
      </c>
      <c r="J2042" s="1">
        <v>4500</v>
      </c>
    </row>
    <row r="2043" spans="1:10" x14ac:dyDescent="0.3">
      <c r="A2043" t="s">
        <v>117</v>
      </c>
      <c r="B2043" t="s">
        <v>6</v>
      </c>
      <c r="C2043" t="s">
        <v>193</v>
      </c>
      <c r="D2043" t="s">
        <v>46</v>
      </c>
      <c r="E2043">
        <v>86</v>
      </c>
      <c r="F2043">
        <v>126</v>
      </c>
      <c r="G2043" s="1">
        <v>3500</v>
      </c>
      <c r="H2043" s="1">
        <v>3500</v>
      </c>
      <c r="I2043" s="1">
        <v>15750</v>
      </c>
      <c r="J2043" s="1">
        <v>4500</v>
      </c>
    </row>
    <row r="2044" spans="1:10" x14ac:dyDescent="0.3">
      <c r="A2044" t="s">
        <v>117</v>
      </c>
      <c r="B2044" t="s">
        <v>5</v>
      </c>
      <c r="C2044" t="s">
        <v>193</v>
      </c>
      <c r="D2044" t="s">
        <v>46</v>
      </c>
      <c r="E2044">
        <v>86</v>
      </c>
      <c r="F2044">
        <v>126</v>
      </c>
      <c r="G2044" s="1">
        <v>1000</v>
      </c>
      <c r="H2044" s="1">
        <v>1000</v>
      </c>
      <c r="I2044" s="1">
        <v>4500</v>
      </c>
      <c r="J2044" s="1">
        <v>4500</v>
      </c>
    </row>
    <row r="2045" spans="1:10" x14ac:dyDescent="0.3">
      <c r="A2045" t="s">
        <v>117</v>
      </c>
      <c r="B2045" t="s">
        <v>4</v>
      </c>
      <c r="C2045" t="s">
        <v>193</v>
      </c>
      <c r="D2045" t="s">
        <v>46</v>
      </c>
      <c r="E2045">
        <v>86</v>
      </c>
      <c r="F2045">
        <v>126</v>
      </c>
      <c r="G2045" s="1">
        <v>1000</v>
      </c>
      <c r="H2045" s="1">
        <v>800</v>
      </c>
      <c r="I2045" s="1">
        <v>1760</v>
      </c>
      <c r="J2045" s="1">
        <v>2200</v>
      </c>
    </row>
    <row r="2046" spans="1:10" x14ac:dyDescent="0.3">
      <c r="A2046" t="s">
        <v>117</v>
      </c>
      <c r="B2046" t="s">
        <v>3</v>
      </c>
      <c r="C2046" t="s">
        <v>193</v>
      </c>
      <c r="D2046" t="s">
        <v>46</v>
      </c>
      <c r="E2046">
        <v>86</v>
      </c>
      <c r="F2046">
        <v>126</v>
      </c>
      <c r="G2046" s="1">
        <v>1100</v>
      </c>
      <c r="H2046" s="1">
        <v>835</v>
      </c>
      <c r="I2046" s="1">
        <v>3758</v>
      </c>
      <c r="J2046" s="1">
        <v>4501</v>
      </c>
    </row>
    <row r="2047" spans="1:10" x14ac:dyDescent="0.3">
      <c r="A2047" t="s">
        <v>117</v>
      </c>
      <c r="B2047" t="s">
        <v>18</v>
      </c>
      <c r="C2047" t="s">
        <v>193</v>
      </c>
      <c r="D2047" t="s">
        <v>68</v>
      </c>
      <c r="E2047">
        <v>86</v>
      </c>
      <c r="F2047">
        <v>133</v>
      </c>
      <c r="G2047" s="1">
        <v>3950</v>
      </c>
      <c r="H2047" s="1">
        <v>2450</v>
      </c>
      <c r="I2047" s="1">
        <v>9070</v>
      </c>
      <c r="J2047" s="1">
        <v>3702</v>
      </c>
    </row>
    <row r="2048" spans="1:10" x14ac:dyDescent="0.3">
      <c r="A2048" t="s">
        <v>117</v>
      </c>
      <c r="B2048" t="s">
        <v>17</v>
      </c>
      <c r="C2048" t="s">
        <v>193</v>
      </c>
      <c r="D2048" t="s">
        <v>68</v>
      </c>
      <c r="E2048">
        <v>86</v>
      </c>
      <c r="F2048">
        <v>133</v>
      </c>
      <c r="G2048" s="1">
        <v>4500</v>
      </c>
      <c r="H2048" s="1">
        <v>4500</v>
      </c>
      <c r="I2048" s="1">
        <v>15750</v>
      </c>
      <c r="J2048" s="1">
        <v>3500</v>
      </c>
    </row>
    <row r="2049" spans="1:10" x14ac:dyDescent="0.3">
      <c r="A2049" t="s">
        <v>117</v>
      </c>
      <c r="B2049" t="s">
        <v>14</v>
      </c>
      <c r="C2049" t="s">
        <v>193</v>
      </c>
      <c r="D2049" t="s">
        <v>68</v>
      </c>
      <c r="E2049">
        <v>86</v>
      </c>
      <c r="F2049">
        <v>133</v>
      </c>
      <c r="G2049" s="1">
        <v>5000</v>
      </c>
      <c r="H2049" s="1">
        <v>4500</v>
      </c>
      <c r="I2049" s="1">
        <v>21600</v>
      </c>
      <c r="J2049" s="1">
        <v>4800</v>
      </c>
    </row>
    <row r="2050" spans="1:10" x14ac:dyDescent="0.3">
      <c r="A2050" t="s">
        <v>117</v>
      </c>
      <c r="B2050" t="s">
        <v>12</v>
      </c>
      <c r="C2050" t="s">
        <v>193</v>
      </c>
      <c r="D2050" t="s">
        <v>68</v>
      </c>
      <c r="E2050">
        <v>86</v>
      </c>
      <c r="F2050">
        <v>133</v>
      </c>
      <c r="G2050" s="1">
        <v>3500</v>
      </c>
      <c r="H2050" s="1">
        <v>3150</v>
      </c>
      <c r="I2050" s="1">
        <v>10080</v>
      </c>
      <c r="J2050" s="1">
        <v>3200</v>
      </c>
    </row>
    <row r="2051" spans="1:10" x14ac:dyDescent="0.3">
      <c r="A2051" t="s">
        <v>117</v>
      </c>
      <c r="B2051" t="s">
        <v>9</v>
      </c>
      <c r="C2051" t="s">
        <v>193</v>
      </c>
      <c r="D2051" t="s">
        <v>68</v>
      </c>
      <c r="E2051">
        <v>86</v>
      </c>
      <c r="F2051">
        <v>133</v>
      </c>
      <c r="G2051" s="1">
        <v>3500</v>
      </c>
      <c r="H2051" s="1">
        <v>3000</v>
      </c>
      <c r="I2051" s="1">
        <v>15000</v>
      </c>
      <c r="J2051" s="1">
        <v>5000</v>
      </c>
    </row>
    <row r="2052" spans="1:10" x14ac:dyDescent="0.3">
      <c r="A2052" t="s">
        <v>117</v>
      </c>
      <c r="B2052" t="s">
        <v>8</v>
      </c>
      <c r="C2052" t="s">
        <v>193</v>
      </c>
      <c r="D2052" t="s">
        <v>68</v>
      </c>
      <c r="E2052">
        <v>86</v>
      </c>
      <c r="F2052">
        <v>133</v>
      </c>
      <c r="G2052" s="1">
        <v>3500</v>
      </c>
      <c r="H2052" s="1">
        <v>3150</v>
      </c>
      <c r="I2052" s="1">
        <v>14175</v>
      </c>
      <c r="J2052" s="1">
        <v>4500</v>
      </c>
    </row>
    <row r="2053" spans="1:10" x14ac:dyDescent="0.3">
      <c r="A2053" t="s">
        <v>117</v>
      </c>
      <c r="B2053" t="s">
        <v>7</v>
      </c>
      <c r="C2053" t="s">
        <v>193</v>
      </c>
      <c r="D2053" t="s">
        <v>68</v>
      </c>
      <c r="E2053">
        <v>86</v>
      </c>
      <c r="F2053">
        <v>133</v>
      </c>
      <c r="G2053" s="1">
        <v>6500</v>
      </c>
      <c r="H2053" s="1">
        <v>5850</v>
      </c>
      <c r="I2053" s="1">
        <v>26325</v>
      </c>
      <c r="J2053" s="1">
        <v>4500</v>
      </c>
    </row>
    <row r="2054" spans="1:10" x14ac:dyDescent="0.3">
      <c r="A2054" t="s">
        <v>117</v>
      </c>
      <c r="B2054" t="s">
        <v>6</v>
      </c>
      <c r="C2054" t="s">
        <v>193</v>
      </c>
      <c r="D2054" t="s">
        <v>68</v>
      </c>
      <c r="E2054">
        <v>86</v>
      </c>
      <c r="F2054">
        <v>133</v>
      </c>
      <c r="G2054" s="1">
        <v>6500</v>
      </c>
      <c r="H2054" s="1">
        <v>5850</v>
      </c>
      <c r="I2054" s="1">
        <v>26325</v>
      </c>
      <c r="J2054" s="1">
        <v>4500</v>
      </c>
    </row>
    <row r="2055" spans="1:10" x14ac:dyDescent="0.3">
      <c r="A2055" t="s">
        <v>117</v>
      </c>
      <c r="B2055" t="s">
        <v>5</v>
      </c>
      <c r="C2055" t="s">
        <v>193</v>
      </c>
      <c r="D2055" t="s">
        <v>68</v>
      </c>
      <c r="E2055">
        <v>86</v>
      </c>
      <c r="F2055">
        <v>133</v>
      </c>
      <c r="G2055" s="1">
        <v>6500</v>
      </c>
      <c r="H2055" s="1">
        <v>5200</v>
      </c>
      <c r="I2055" s="1">
        <v>23400</v>
      </c>
      <c r="J2055" s="1">
        <v>4500</v>
      </c>
    </row>
    <row r="2056" spans="1:10" x14ac:dyDescent="0.3">
      <c r="A2056" t="s">
        <v>117</v>
      </c>
      <c r="B2056" t="s">
        <v>4</v>
      </c>
      <c r="C2056" t="s">
        <v>193</v>
      </c>
      <c r="D2056" t="s">
        <v>68</v>
      </c>
      <c r="E2056">
        <v>86</v>
      </c>
      <c r="F2056">
        <v>133</v>
      </c>
      <c r="G2056" s="1">
        <v>6500</v>
      </c>
      <c r="H2056" s="1">
        <v>5194</v>
      </c>
      <c r="I2056" s="1">
        <v>15582</v>
      </c>
      <c r="J2056" s="1">
        <v>3000</v>
      </c>
    </row>
    <row r="2057" spans="1:10" x14ac:dyDescent="0.3">
      <c r="A2057" t="s">
        <v>117</v>
      </c>
      <c r="B2057" t="s">
        <v>3</v>
      </c>
      <c r="C2057" t="s">
        <v>193</v>
      </c>
      <c r="D2057" t="s">
        <v>68</v>
      </c>
      <c r="E2057">
        <v>86</v>
      </c>
      <c r="F2057">
        <v>133</v>
      </c>
      <c r="G2057" s="1">
        <v>7150</v>
      </c>
      <c r="H2057" s="1">
        <v>5100</v>
      </c>
      <c r="I2057" s="1">
        <v>20400</v>
      </c>
      <c r="J2057" s="1">
        <v>4000</v>
      </c>
    </row>
    <row r="2058" spans="1:10" x14ac:dyDescent="0.3">
      <c r="A2058" t="s">
        <v>117</v>
      </c>
      <c r="B2058" t="s">
        <v>5</v>
      </c>
      <c r="C2058" t="s">
        <v>193</v>
      </c>
      <c r="D2058" t="s">
        <v>29</v>
      </c>
      <c r="E2058">
        <v>86</v>
      </c>
      <c r="F2058">
        <v>140</v>
      </c>
      <c r="G2058" s="1">
        <v>3000</v>
      </c>
      <c r="H2058" s="1">
        <v>2400</v>
      </c>
      <c r="I2058" s="1">
        <v>10800</v>
      </c>
      <c r="J2058" s="1">
        <v>4500</v>
      </c>
    </row>
    <row r="2059" spans="1:10" x14ac:dyDescent="0.3">
      <c r="A2059" t="s">
        <v>117</v>
      </c>
      <c r="B2059" t="s">
        <v>4</v>
      </c>
      <c r="C2059" t="s">
        <v>193</v>
      </c>
      <c r="D2059" t="s">
        <v>29</v>
      </c>
      <c r="E2059">
        <v>86</v>
      </c>
      <c r="F2059">
        <v>140</v>
      </c>
      <c r="G2059" s="1">
        <v>3000</v>
      </c>
      <c r="H2059" s="1">
        <v>2375</v>
      </c>
      <c r="I2059" s="1">
        <v>5938</v>
      </c>
      <c r="J2059" s="1">
        <v>2500</v>
      </c>
    </row>
    <row r="2060" spans="1:10" x14ac:dyDescent="0.3">
      <c r="A2060" t="s">
        <v>117</v>
      </c>
      <c r="B2060" t="s">
        <v>3</v>
      </c>
      <c r="C2060" t="s">
        <v>193</v>
      </c>
      <c r="D2060" t="s">
        <v>29</v>
      </c>
      <c r="E2060">
        <v>86</v>
      </c>
      <c r="F2060">
        <v>140</v>
      </c>
      <c r="G2060" s="1">
        <v>3300</v>
      </c>
      <c r="H2060" s="1">
        <v>2330</v>
      </c>
      <c r="I2060" s="1">
        <v>9320</v>
      </c>
      <c r="J2060" s="1">
        <v>4000</v>
      </c>
    </row>
    <row r="2061" spans="1:10" x14ac:dyDescent="0.3">
      <c r="A2061" t="s">
        <v>117</v>
      </c>
      <c r="B2061" t="s">
        <v>18</v>
      </c>
      <c r="C2061" t="s">
        <v>193</v>
      </c>
      <c r="D2061" t="s">
        <v>65</v>
      </c>
      <c r="E2061">
        <v>86</v>
      </c>
      <c r="F2061">
        <v>147</v>
      </c>
      <c r="G2061" s="1">
        <v>3100</v>
      </c>
      <c r="H2061" s="1">
        <v>2100</v>
      </c>
      <c r="I2061" s="1">
        <v>7350</v>
      </c>
      <c r="J2061" s="1">
        <v>3500</v>
      </c>
    </row>
    <row r="2062" spans="1:10" x14ac:dyDescent="0.3">
      <c r="A2062" t="s">
        <v>117</v>
      </c>
      <c r="B2062" t="s">
        <v>17</v>
      </c>
      <c r="C2062" t="s">
        <v>193</v>
      </c>
      <c r="D2062" t="s">
        <v>65</v>
      </c>
      <c r="E2062">
        <v>86</v>
      </c>
      <c r="F2062">
        <v>147</v>
      </c>
      <c r="G2062" s="1">
        <v>3500</v>
      </c>
      <c r="H2062" s="1">
        <v>3500</v>
      </c>
      <c r="I2062" s="1">
        <v>13300</v>
      </c>
      <c r="J2062" s="1">
        <v>3800</v>
      </c>
    </row>
    <row r="2063" spans="1:10" x14ac:dyDescent="0.3">
      <c r="A2063" t="s">
        <v>117</v>
      </c>
      <c r="B2063" t="s">
        <v>14</v>
      </c>
      <c r="C2063" t="s">
        <v>193</v>
      </c>
      <c r="D2063" t="s">
        <v>65</v>
      </c>
      <c r="E2063">
        <v>86</v>
      </c>
      <c r="F2063">
        <v>147</v>
      </c>
      <c r="G2063" s="1">
        <v>4000</v>
      </c>
      <c r="H2063" s="1">
        <v>3600</v>
      </c>
      <c r="I2063" s="1">
        <v>16200</v>
      </c>
      <c r="J2063" s="1">
        <v>4500</v>
      </c>
    </row>
    <row r="2064" spans="1:10" x14ac:dyDescent="0.3">
      <c r="A2064" t="s">
        <v>117</v>
      </c>
      <c r="B2064" t="s">
        <v>12</v>
      </c>
      <c r="C2064" t="s">
        <v>193</v>
      </c>
      <c r="D2064" t="s">
        <v>65</v>
      </c>
      <c r="E2064">
        <v>86</v>
      </c>
      <c r="F2064">
        <v>147</v>
      </c>
      <c r="G2064" s="1">
        <v>2500</v>
      </c>
      <c r="H2064" s="1">
        <v>2250</v>
      </c>
      <c r="I2064" s="1">
        <v>6750</v>
      </c>
      <c r="J2064" s="1">
        <v>3000</v>
      </c>
    </row>
    <row r="2065" spans="1:10" x14ac:dyDescent="0.3">
      <c r="A2065" t="s">
        <v>117</v>
      </c>
      <c r="B2065" t="s">
        <v>9</v>
      </c>
      <c r="C2065" t="s">
        <v>193</v>
      </c>
      <c r="D2065" t="s">
        <v>65</v>
      </c>
      <c r="E2065">
        <v>86</v>
      </c>
      <c r="F2065">
        <v>147</v>
      </c>
      <c r="G2065" s="1">
        <v>2500</v>
      </c>
      <c r="H2065" s="1">
        <v>2300</v>
      </c>
      <c r="I2065" s="1">
        <v>11500</v>
      </c>
      <c r="J2065" s="1">
        <v>5000</v>
      </c>
    </row>
    <row r="2066" spans="1:10" x14ac:dyDescent="0.3">
      <c r="A2066" t="s">
        <v>117</v>
      </c>
      <c r="B2066" t="s">
        <v>8</v>
      </c>
      <c r="C2066" t="s">
        <v>193</v>
      </c>
      <c r="D2066" t="s">
        <v>65</v>
      </c>
      <c r="E2066">
        <v>86</v>
      </c>
      <c r="F2066">
        <v>147</v>
      </c>
      <c r="G2066" s="1">
        <v>2500</v>
      </c>
      <c r="H2066" s="1">
        <v>2250</v>
      </c>
      <c r="I2066" s="1">
        <v>10125</v>
      </c>
      <c r="J2066" s="1">
        <v>4500</v>
      </c>
    </row>
    <row r="2067" spans="1:10" x14ac:dyDescent="0.3">
      <c r="A2067" t="s">
        <v>117</v>
      </c>
      <c r="B2067" t="s">
        <v>7</v>
      </c>
      <c r="C2067" t="s">
        <v>193</v>
      </c>
      <c r="D2067" t="s">
        <v>65</v>
      </c>
      <c r="E2067">
        <v>86</v>
      </c>
      <c r="F2067">
        <v>147</v>
      </c>
      <c r="G2067" s="1">
        <v>3500</v>
      </c>
      <c r="H2067" s="1">
        <v>3150</v>
      </c>
      <c r="I2067" s="1">
        <v>15750</v>
      </c>
      <c r="J2067" s="1">
        <v>5000</v>
      </c>
    </row>
    <row r="2068" spans="1:10" x14ac:dyDescent="0.3">
      <c r="A2068" t="s">
        <v>117</v>
      </c>
      <c r="B2068" t="s">
        <v>6</v>
      </c>
      <c r="C2068" t="s">
        <v>193</v>
      </c>
      <c r="D2068" t="s">
        <v>65</v>
      </c>
      <c r="E2068">
        <v>86</v>
      </c>
      <c r="F2068">
        <v>147</v>
      </c>
      <c r="G2068" s="1">
        <v>3500</v>
      </c>
      <c r="H2068" s="1">
        <v>3150</v>
      </c>
      <c r="I2068" s="1">
        <v>14175</v>
      </c>
      <c r="J2068" s="1">
        <v>4500</v>
      </c>
    </row>
    <row r="2069" spans="1:10" x14ac:dyDescent="0.3">
      <c r="A2069" t="s">
        <v>117</v>
      </c>
      <c r="B2069" t="s">
        <v>5</v>
      </c>
      <c r="C2069" t="s">
        <v>193</v>
      </c>
      <c r="D2069" t="s">
        <v>65</v>
      </c>
      <c r="E2069">
        <v>86</v>
      </c>
      <c r="F2069">
        <v>147</v>
      </c>
      <c r="G2069" s="1">
        <v>4000</v>
      </c>
      <c r="H2069" s="1">
        <v>3200</v>
      </c>
      <c r="I2069" s="1">
        <v>14400</v>
      </c>
      <c r="J2069" s="1">
        <v>4500</v>
      </c>
    </row>
    <row r="2070" spans="1:10" x14ac:dyDescent="0.3">
      <c r="A2070" t="s">
        <v>117</v>
      </c>
      <c r="B2070" t="s">
        <v>4</v>
      </c>
      <c r="C2070" t="s">
        <v>193</v>
      </c>
      <c r="D2070" t="s">
        <v>65</v>
      </c>
      <c r="E2070">
        <v>86</v>
      </c>
      <c r="F2070">
        <v>147</v>
      </c>
      <c r="G2070" s="1">
        <v>4000</v>
      </c>
      <c r="H2070" s="1">
        <v>3190</v>
      </c>
      <c r="I2070" s="1">
        <v>11165</v>
      </c>
      <c r="J2070" s="1">
        <v>3500</v>
      </c>
    </row>
    <row r="2071" spans="1:10" x14ac:dyDescent="0.3">
      <c r="A2071" t="s">
        <v>117</v>
      </c>
      <c r="B2071" t="s">
        <v>3</v>
      </c>
      <c r="C2071" t="s">
        <v>193</v>
      </c>
      <c r="D2071" t="s">
        <v>65</v>
      </c>
      <c r="E2071">
        <v>86</v>
      </c>
      <c r="F2071">
        <v>147</v>
      </c>
      <c r="G2071" s="1">
        <v>4400</v>
      </c>
      <c r="H2071" s="1">
        <v>3170</v>
      </c>
      <c r="I2071" s="1">
        <v>12680</v>
      </c>
      <c r="J2071" s="1">
        <v>4000</v>
      </c>
    </row>
    <row r="2072" spans="1:10" x14ac:dyDescent="0.3">
      <c r="A2072" t="s">
        <v>117</v>
      </c>
      <c r="B2072" t="s">
        <v>18</v>
      </c>
      <c r="C2072" t="s">
        <v>193</v>
      </c>
      <c r="D2072" t="s">
        <v>58</v>
      </c>
      <c r="E2072">
        <v>86</v>
      </c>
      <c r="F2072">
        <v>154</v>
      </c>
      <c r="G2072" s="1">
        <v>7500</v>
      </c>
      <c r="H2072" s="1">
        <v>6710</v>
      </c>
      <c r="I2072" s="1">
        <v>22810</v>
      </c>
      <c r="J2072" s="1">
        <v>3399</v>
      </c>
    </row>
    <row r="2073" spans="1:10" x14ac:dyDescent="0.3">
      <c r="A2073" t="s">
        <v>117</v>
      </c>
      <c r="B2073" t="s">
        <v>17</v>
      </c>
      <c r="C2073" t="s">
        <v>193</v>
      </c>
      <c r="D2073" t="s">
        <v>58</v>
      </c>
      <c r="E2073">
        <v>86</v>
      </c>
      <c r="F2073">
        <v>154</v>
      </c>
      <c r="G2073" s="1">
        <v>7500</v>
      </c>
      <c r="H2073" s="1">
        <v>7500</v>
      </c>
      <c r="I2073" s="1">
        <v>26250</v>
      </c>
      <c r="J2073" s="1">
        <v>3500</v>
      </c>
    </row>
    <row r="2074" spans="1:10" x14ac:dyDescent="0.3">
      <c r="A2074" t="s">
        <v>117</v>
      </c>
      <c r="B2074" t="s">
        <v>14</v>
      </c>
      <c r="C2074" t="s">
        <v>193</v>
      </c>
      <c r="D2074" t="s">
        <v>58</v>
      </c>
      <c r="E2074">
        <v>86</v>
      </c>
      <c r="F2074">
        <v>154</v>
      </c>
      <c r="G2074" s="1">
        <v>7000</v>
      </c>
      <c r="H2074" s="1">
        <v>7000</v>
      </c>
      <c r="I2074" s="1">
        <v>23100</v>
      </c>
      <c r="J2074" s="1">
        <v>3300</v>
      </c>
    </row>
    <row r="2075" spans="1:10" x14ac:dyDescent="0.3">
      <c r="A2075" t="s">
        <v>117</v>
      </c>
      <c r="B2075" t="s">
        <v>12</v>
      </c>
      <c r="C2075" t="s">
        <v>193</v>
      </c>
      <c r="D2075" t="s">
        <v>58</v>
      </c>
      <c r="E2075">
        <v>86</v>
      </c>
      <c r="F2075">
        <v>154</v>
      </c>
      <c r="G2075" s="1">
        <v>1800</v>
      </c>
      <c r="H2075" s="1">
        <v>1000</v>
      </c>
      <c r="I2075" s="1">
        <v>2200</v>
      </c>
      <c r="J2075" s="1">
        <v>2200</v>
      </c>
    </row>
    <row r="2076" spans="1:10" x14ac:dyDescent="0.3">
      <c r="A2076" t="s">
        <v>117</v>
      </c>
      <c r="B2076" t="s">
        <v>9</v>
      </c>
      <c r="C2076" t="s">
        <v>193</v>
      </c>
      <c r="D2076" t="s">
        <v>58</v>
      </c>
      <c r="E2076">
        <v>86</v>
      </c>
      <c r="F2076">
        <v>154</v>
      </c>
      <c r="G2076" s="1">
        <v>1538</v>
      </c>
      <c r="H2076" s="1">
        <v>518</v>
      </c>
      <c r="I2076" s="1">
        <v>1709</v>
      </c>
      <c r="J2076" s="1">
        <v>3299</v>
      </c>
    </row>
    <row r="2077" spans="1:10" x14ac:dyDescent="0.3">
      <c r="A2077" t="s">
        <v>117</v>
      </c>
      <c r="B2077" t="s">
        <v>8</v>
      </c>
      <c r="C2077" t="s">
        <v>193</v>
      </c>
      <c r="D2077" t="s">
        <v>58</v>
      </c>
      <c r="E2077">
        <v>86</v>
      </c>
      <c r="F2077">
        <v>154</v>
      </c>
      <c r="G2077" s="1">
        <v>1600</v>
      </c>
      <c r="H2077" s="1">
        <v>710</v>
      </c>
      <c r="I2077" s="1">
        <v>2343</v>
      </c>
      <c r="J2077" s="1">
        <v>3300</v>
      </c>
    </row>
    <row r="2078" spans="1:10" x14ac:dyDescent="0.3">
      <c r="A2078" t="s">
        <v>117</v>
      </c>
      <c r="B2078" t="s">
        <v>7</v>
      </c>
      <c r="C2078" t="s">
        <v>193</v>
      </c>
      <c r="D2078" t="s">
        <v>58</v>
      </c>
      <c r="E2078">
        <v>86</v>
      </c>
      <c r="F2078">
        <v>154</v>
      </c>
      <c r="G2078" s="1">
        <v>2200</v>
      </c>
      <c r="H2078" s="1">
        <v>340</v>
      </c>
      <c r="I2078" s="1">
        <v>1224</v>
      </c>
      <c r="J2078" s="1">
        <v>3600</v>
      </c>
    </row>
    <row r="2079" spans="1:10" x14ac:dyDescent="0.3">
      <c r="A2079" t="s">
        <v>117</v>
      </c>
      <c r="B2079" t="s">
        <v>6</v>
      </c>
      <c r="C2079" t="s">
        <v>193</v>
      </c>
      <c r="D2079" t="s">
        <v>58</v>
      </c>
      <c r="E2079">
        <v>86</v>
      </c>
      <c r="F2079">
        <v>154</v>
      </c>
      <c r="G2079" s="1">
        <v>2200</v>
      </c>
      <c r="H2079" s="1">
        <v>1480</v>
      </c>
      <c r="I2079" s="1">
        <v>4736</v>
      </c>
      <c r="J2079" s="1">
        <v>3200</v>
      </c>
    </row>
    <row r="2080" spans="1:10" x14ac:dyDescent="0.3">
      <c r="A2080" t="s">
        <v>117</v>
      </c>
      <c r="B2080" t="s">
        <v>5</v>
      </c>
      <c r="C2080" t="s">
        <v>193</v>
      </c>
      <c r="D2080" t="s">
        <v>58</v>
      </c>
      <c r="E2080">
        <v>86</v>
      </c>
      <c r="F2080">
        <v>154</v>
      </c>
      <c r="G2080" s="1">
        <v>2200</v>
      </c>
      <c r="H2080" s="1">
        <v>1470</v>
      </c>
      <c r="I2080" s="1">
        <v>3822</v>
      </c>
      <c r="J2080" s="1">
        <v>2600</v>
      </c>
    </row>
    <row r="2081" spans="1:10" x14ac:dyDescent="0.3">
      <c r="A2081" t="s">
        <v>117</v>
      </c>
      <c r="B2081" t="s">
        <v>4</v>
      </c>
      <c r="C2081" t="s">
        <v>193</v>
      </c>
      <c r="D2081" t="s">
        <v>58</v>
      </c>
      <c r="E2081">
        <v>86</v>
      </c>
      <c r="F2081">
        <v>154</v>
      </c>
      <c r="G2081" s="1">
        <v>2400</v>
      </c>
      <c r="H2081" s="1">
        <v>1160</v>
      </c>
      <c r="I2081" s="1">
        <v>3480</v>
      </c>
      <c r="J2081" s="1">
        <v>3000</v>
      </c>
    </row>
    <row r="2082" spans="1:10" x14ac:dyDescent="0.3">
      <c r="A2082" t="s">
        <v>117</v>
      </c>
      <c r="B2082" t="s">
        <v>3</v>
      </c>
      <c r="C2082" t="s">
        <v>193</v>
      </c>
      <c r="D2082" t="s">
        <v>58</v>
      </c>
      <c r="E2082">
        <v>86</v>
      </c>
      <c r="F2082">
        <v>154</v>
      </c>
      <c r="G2082" s="1">
        <v>3380</v>
      </c>
      <c r="H2082" s="1">
        <v>2290</v>
      </c>
      <c r="I2082" s="1">
        <v>5267</v>
      </c>
      <c r="J2082" s="1">
        <v>2300</v>
      </c>
    </row>
    <row r="2083" spans="1:10" x14ac:dyDescent="0.3">
      <c r="A2083" t="s">
        <v>117</v>
      </c>
      <c r="B2083" t="s">
        <v>18</v>
      </c>
      <c r="C2083" t="s">
        <v>193</v>
      </c>
      <c r="D2083" t="s">
        <v>42</v>
      </c>
      <c r="E2083">
        <v>86</v>
      </c>
      <c r="F2083">
        <v>161</v>
      </c>
      <c r="G2083" s="1">
        <v>2200</v>
      </c>
      <c r="H2083" s="1">
        <v>1700</v>
      </c>
      <c r="I2083" s="1">
        <v>6460</v>
      </c>
      <c r="J2083" s="1">
        <v>3800</v>
      </c>
    </row>
    <row r="2084" spans="1:10" x14ac:dyDescent="0.3">
      <c r="A2084" t="s">
        <v>117</v>
      </c>
      <c r="B2084" t="s">
        <v>17</v>
      </c>
      <c r="C2084" t="s">
        <v>193</v>
      </c>
      <c r="D2084" t="s">
        <v>42</v>
      </c>
      <c r="E2084">
        <v>86</v>
      </c>
      <c r="F2084">
        <v>161</v>
      </c>
      <c r="G2084" s="1">
        <v>3500</v>
      </c>
      <c r="H2084" s="1">
        <v>3000</v>
      </c>
      <c r="I2084" s="1">
        <v>11400</v>
      </c>
      <c r="J2084" s="1">
        <v>3800</v>
      </c>
    </row>
    <row r="2085" spans="1:10" x14ac:dyDescent="0.3">
      <c r="A2085" t="s">
        <v>117</v>
      </c>
      <c r="B2085" t="s">
        <v>14</v>
      </c>
      <c r="C2085" t="s">
        <v>193</v>
      </c>
      <c r="D2085" t="s">
        <v>42</v>
      </c>
      <c r="E2085">
        <v>86</v>
      </c>
      <c r="F2085">
        <v>161</v>
      </c>
      <c r="G2085" s="1">
        <v>3500</v>
      </c>
      <c r="H2085" s="1">
        <v>3150</v>
      </c>
      <c r="I2085" s="1">
        <v>14175</v>
      </c>
      <c r="J2085" s="1">
        <v>4500</v>
      </c>
    </row>
    <row r="2086" spans="1:10" x14ac:dyDescent="0.3">
      <c r="A2086" t="s">
        <v>117</v>
      </c>
      <c r="B2086" t="s">
        <v>12</v>
      </c>
      <c r="C2086" t="s">
        <v>193</v>
      </c>
      <c r="D2086" t="s">
        <v>42</v>
      </c>
      <c r="E2086">
        <v>86</v>
      </c>
      <c r="F2086">
        <v>161</v>
      </c>
      <c r="G2086" s="1">
        <v>2000</v>
      </c>
      <c r="H2086" s="1">
        <v>1800</v>
      </c>
      <c r="I2086" s="1">
        <v>5400</v>
      </c>
      <c r="J2086" s="1">
        <v>3000</v>
      </c>
    </row>
    <row r="2087" spans="1:10" x14ac:dyDescent="0.3">
      <c r="A2087" t="s">
        <v>117</v>
      </c>
      <c r="B2087" t="s">
        <v>9</v>
      </c>
      <c r="C2087" t="s">
        <v>193</v>
      </c>
      <c r="D2087" t="s">
        <v>42</v>
      </c>
      <c r="E2087">
        <v>86</v>
      </c>
      <c r="F2087">
        <v>161</v>
      </c>
      <c r="G2087" s="1">
        <v>2000</v>
      </c>
      <c r="H2087" s="1">
        <v>1800</v>
      </c>
      <c r="I2087" s="1">
        <v>8100</v>
      </c>
      <c r="J2087" s="1">
        <v>4500</v>
      </c>
    </row>
    <row r="2088" spans="1:10" x14ac:dyDescent="0.3">
      <c r="A2088" t="s">
        <v>117</v>
      </c>
      <c r="B2088" t="s">
        <v>8</v>
      </c>
      <c r="C2088" t="s">
        <v>193</v>
      </c>
      <c r="D2088" t="s">
        <v>42</v>
      </c>
      <c r="E2088">
        <v>86</v>
      </c>
      <c r="F2088">
        <v>161</v>
      </c>
      <c r="G2088" s="1">
        <v>2000</v>
      </c>
      <c r="H2088" s="1">
        <v>1800</v>
      </c>
      <c r="I2088" s="1">
        <v>8100</v>
      </c>
      <c r="J2088" s="1">
        <v>4500</v>
      </c>
    </row>
    <row r="2089" spans="1:10" x14ac:dyDescent="0.3">
      <c r="A2089" t="s">
        <v>117</v>
      </c>
      <c r="B2089" t="s">
        <v>7</v>
      </c>
      <c r="C2089" t="s">
        <v>193</v>
      </c>
      <c r="D2089" t="s">
        <v>42</v>
      </c>
      <c r="E2089">
        <v>86</v>
      </c>
      <c r="F2089">
        <v>161</v>
      </c>
      <c r="G2089" s="1">
        <v>3000</v>
      </c>
      <c r="H2089" s="1">
        <v>2700</v>
      </c>
      <c r="I2089" s="1">
        <v>12150</v>
      </c>
      <c r="J2089" s="1">
        <v>4500</v>
      </c>
    </row>
    <row r="2090" spans="1:10" x14ac:dyDescent="0.3">
      <c r="A2090" t="s">
        <v>117</v>
      </c>
      <c r="B2090" t="s">
        <v>6</v>
      </c>
      <c r="C2090" t="s">
        <v>193</v>
      </c>
      <c r="D2090" t="s">
        <v>42</v>
      </c>
      <c r="E2090">
        <v>86</v>
      </c>
      <c r="F2090">
        <v>161</v>
      </c>
      <c r="G2090" s="1">
        <v>3000</v>
      </c>
      <c r="H2090" s="1">
        <v>2700</v>
      </c>
      <c r="I2090" s="1">
        <v>12150</v>
      </c>
      <c r="J2090" s="1">
        <v>4500</v>
      </c>
    </row>
    <row r="2091" spans="1:10" x14ac:dyDescent="0.3">
      <c r="A2091" t="s">
        <v>117</v>
      </c>
      <c r="B2091" t="s">
        <v>5</v>
      </c>
      <c r="C2091" t="s">
        <v>193</v>
      </c>
      <c r="D2091" t="s">
        <v>42</v>
      </c>
      <c r="E2091">
        <v>86</v>
      </c>
      <c r="F2091">
        <v>161</v>
      </c>
      <c r="G2091" s="1">
        <v>3000</v>
      </c>
      <c r="H2091" s="1">
        <v>2400</v>
      </c>
      <c r="I2091" s="1">
        <v>10800</v>
      </c>
      <c r="J2091" s="1">
        <v>4500</v>
      </c>
    </row>
    <row r="2092" spans="1:10" x14ac:dyDescent="0.3">
      <c r="A2092" t="s">
        <v>117</v>
      </c>
      <c r="B2092" t="s">
        <v>4</v>
      </c>
      <c r="C2092" t="s">
        <v>193</v>
      </c>
      <c r="D2092" t="s">
        <v>42</v>
      </c>
      <c r="E2092">
        <v>86</v>
      </c>
      <c r="F2092">
        <v>161</v>
      </c>
      <c r="G2092" s="1">
        <v>3000</v>
      </c>
      <c r="H2092" s="1">
        <v>2370</v>
      </c>
      <c r="I2092" s="1">
        <v>8295</v>
      </c>
      <c r="J2092" s="1">
        <v>3500</v>
      </c>
    </row>
    <row r="2093" spans="1:10" x14ac:dyDescent="0.3">
      <c r="A2093" t="s">
        <v>117</v>
      </c>
      <c r="B2093" t="s">
        <v>3</v>
      </c>
      <c r="C2093" t="s">
        <v>193</v>
      </c>
      <c r="D2093" t="s">
        <v>42</v>
      </c>
      <c r="E2093">
        <v>86</v>
      </c>
      <c r="F2093">
        <v>161</v>
      </c>
      <c r="G2093" s="1">
        <v>3300</v>
      </c>
      <c r="H2093" s="1">
        <v>2190</v>
      </c>
      <c r="I2093" s="1">
        <v>8760</v>
      </c>
      <c r="J2093" s="1">
        <v>4000</v>
      </c>
    </row>
    <row r="2094" spans="1:10" x14ac:dyDescent="0.3">
      <c r="A2094" t="s">
        <v>117</v>
      </c>
      <c r="B2094" t="s">
        <v>18</v>
      </c>
      <c r="C2094" t="s">
        <v>193</v>
      </c>
      <c r="D2094" t="s">
        <v>52</v>
      </c>
      <c r="E2094">
        <v>86</v>
      </c>
      <c r="F2094">
        <v>175</v>
      </c>
      <c r="G2094" s="1">
        <v>1300</v>
      </c>
      <c r="H2094" s="1">
        <v>800</v>
      </c>
      <c r="I2094" s="1">
        <v>2800</v>
      </c>
      <c r="J2094" s="1">
        <v>3500</v>
      </c>
    </row>
    <row r="2095" spans="1:10" x14ac:dyDescent="0.3">
      <c r="A2095" t="s">
        <v>117</v>
      </c>
      <c r="B2095" t="s">
        <v>17</v>
      </c>
      <c r="C2095" t="s">
        <v>193</v>
      </c>
      <c r="D2095" t="s">
        <v>52</v>
      </c>
      <c r="E2095">
        <v>86</v>
      </c>
      <c r="F2095">
        <v>175</v>
      </c>
      <c r="G2095" s="1">
        <v>2000</v>
      </c>
      <c r="H2095" s="1">
        <v>2000</v>
      </c>
      <c r="I2095" s="1">
        <v>7600</v>
      </c>
      <c r="J2095" s="1">
        <v>3800</v>
      </c>
    </row>
    <row r="2096" spans="1:10" x14ac:dyDescent="0.3">
      <c r="A2096" t="s">
        <v>117</v>
      </c>
      <c r="B2096" t="s">
        <v>14</v>
      </c>
      <c r="C2096" t="s">
        <v>193</v>
      </c>
      <c r="D2096" t="s">
        <v>52</v>
      </c>
      <c r="E2096">
        <v>86</v>
      </c>
      <c r="F2096">
        <v>175</v>
      </c>
      <c r="G2096" s="1">
        <v>2500</v>
      </c>
      <c r="H2096" s="1">
        <v>2250</v>
      </c>
      <c r="I2096" s="1">
        <v>10125</v>
      </c>
      <c r="J2096" s="1">
        <v>4500</v>
      </c>
    </row>
    <row r="2097" spans="1:10" x14ac:dyDescent="0.3">
      <c r="A2097" t="s">
        <v>117</v>
      </c>
      <c r="B2097" t="s">
        <v>12</v>
      </c>
      <c r="C2097" t="s">
        <v>193</v>
      </c>
      <c r="D2097" t="s">
        <v>52</v>
      </c>
      <c r="E2097">
        <v>86</v>
      </c>
      <c r="F2097">
        <v>175</v>
      </c>
      <c r="G2097" s="1">
        <v>1500</v>
      </c>
      <c r="H2097" s="1">
        <v>1500</v>
      </c>
      <c r="I2097" s="1">
        <v>4500</v>
      </c>
      <c r="J2097" s="1">
        <v>3000</v>
      </c>
    </row>
    <row r="2098" spans="1:10" x14ac:dyDescent="0.3">
      <c r="A2098" t="s">
        <v>117</v>
      </c>
      <c r="B2098" t="s">
        <v>9</v>
      </c>
      <c r="C2098" t="s">
        <v>193</v>
      </c>
      <c r="D2098" t="s">
        <v>52</v>
      </c>
      <c r="E2098">
        <v>86</v>
      </c>
      <c r="F2098">
        <v>175</v>
      </c>
      <c r="G2098" s="1">
        <v>2000</v>
      </c>
      <c r="H2098" s="1">
        <v>2000</v>
      </c>
      <c r="I2098" s="1">
        <v>9000</v>
      </c>
      <c r="J2098" s="1">
        <v>4500</v>
      </c>
    </row>
    <row r="2099" spans="1:10" x14ac:dyDescent="0.3">
      <c r="A2099" t="s">
        <v>117</v>
      </c>
      <c r="B2099" t="s">
        <v>8</v>
      </c>
      <c r="C2099" t="s">
        <v>193</v>
      </c>
      <c r="D2099" t="s">
        <v>52</v>
      </c>
      <c r="E2099">
        <v>86</v>
      </c>
      <c r="F2099">
        <v>175</v>
      </c>
      <c r="G2099" s="1">
        <v>2000</v>
      </c>
      <c r="H2099" s="1">
        <v>1800</v>
      </c>
      <c r="I2099" s="1">
        <v>8100</v>
      </c>
      <c r="J2099" s="1">
        <v>4500</v>
      </c>
    </row>
    <row r="2100" spans="1:10" x14ac:dyDescent="0.3">
      <c r="A2100" t="s">
        <v>117</v>
      </c>
      <c r="B2100" t="s">
        <v>7</v>
      </c>
      <c r="C2100" t="s">
        <v>193</v>
      </c>
      <c r="D2100" t="s">
        <v>52</v>
      </c>
      <c r="E2100">
        <v>86</v>
      </c>
      <c r="F2100">
        <v>175</v>
      </c>
      <c r="G2100" s="1">
        <v>3000</v>
      </c>
      <c r="H2100" s="1">
        <v>2700</v>
      </c>
      <c r="I2100" s="1">
        <v>12150</v>
      </c>
      <c r="J2100" s="1">
        <v>4500</v>
      </c>
    </row>
    <row r="2101" spans="1:10" x14ac:dyDescent="0.3">
      <c r="A2101" t="s">
        <v>117</v>
      </c>
      <c r="B2101" t="s">
        <v>6</v>
      </c>
      <c r="C2101" t="s">
        <v>193</v>
      </c>
      <c r="D2101" t="s">
        <v>52</v>
      </c>
      <c r="E2101">
        <v>86</v>
      </c>
      <c r="F2101">
        <v>175</v>
      </c>
      <c r="G2101" s="1">
        <v>3000</v>
      </c>
      <c r="H2101" s="1">
        <v>2700</v>
      </c>
      <c r="I2101" s="1">
        <v>12150</v>
      </c>
      <c r="J2101" s="1">
        <v>4500</v>
      </c>
    </row>
    <row r="2102" spans="1:10" x14ac:dyDescent="0.3">
      <c r="A2102" t="s">
        <v>117</v>
      </c>
      <c r="B2102" t="s">
        <v>5</v>
      </c>
      <c r="C2102" t="s">
        <v>193</v>
      </c>
      <c r="D2102" t="s">
        <v>52</v>
      </c>
      <c r="E2102">
        <v>86</v>
      </c>
      <c r="F2102">
        <v>175</v>
      </c>
      <c r="G2102" s="1">
        <v>4000</v>
      </c>
      <c r="H2102" s="1">
        <v>3200</v>
      </c>
      <c r="I2102" s="1">
        <v>14400</v>
      </c>
      <c r="J2102" s="1">
        <v>4500</v>
      </c>
    </row>
    <row r="2103" spans="1:10" x14ac:dyDescent="0.3">
      <c r="A2103" t="s">
        <v>117</v>
      </c>
      <c r="B2103" t="s">
        <v>4</v>
      </c>
      <c r="C2103" t="s">
        <v>193</v>
      </c>
      <c r="D2103" t="s">
        <v>52</v>
      </c>
      <c r="E2103">
        <v>86</v>
      </c>
      <c r="F2103">
        <v>175</v>
      </c>
      <c r="G2103" s="1">
        <v>4000</v>
      </c>
      <c r="H2103" s="1">
        <v>3195</v>
      </c>
      <c r="I2103" s="1">
        <v>11183</v>
      </c>
      <c r="J2103" s="1">
        <v>3500</v>
      </c>
    </row>
    <row r="2104" spans="1:10" x14ac:dyDescent="0.3">
      <c r="A2104" t="s">
        <v>117</v>
      </c>
      <c r="B2104" t="s">
        <v>3</v>
      </c>
      <c r="C2104" t="s">
        <v>193</v>
      </c>
      <c r="D2104" t="s">
        <v>52</v>
      </c>
      <c r="E2104">
        <v>86</v>
      </c>
      <c r="F2104">
        <v>175</v>
      </c>
      <c r="G2104" s="1">
        <v>4400</v>
      </c>
      <c r="H2104" s="1">
        <v>3205</v>
      </c>
      <c r="I2104" s="1">
        <v>12820</v>
      </c>
      <c r="J2104" s="1">
        <v>4000</v>
      </c>
    </row>
    <row r="2105" spans="1:10" x14ac:dyDescent="0.3">
      <c r="A2105" t="s">
        <v>117</v>
      </c>
      <c r="B2105" t="s">
        <v>18</v>
      </c>
      <c r="C2105" t="s">
        <v>193</v>
      </c>
      <c r="D2105" t="s">
        <v>25</v>
      </c>
      <c r="E2105">
        <v>86</v>
      </c>
      <c r="F2105">
        <v>182</v>
      </c>
      <c r="G2105" s="1">
        <v>1800</v>
      </c>
      <c r="H2105" s="1">
        <v>1610</v>
      </c>
      <c r="I2105" s="1">
        <v>4190</v>
      </c>
      <c r="J2105" s="1">
        <v>2602</v>
      </c>
    </row>
    <row r="2106" spans="1:10" x14ac:dyDescent="0.3">
      <c r="A2106" t="s">
        <v>117</v>
      </c>
      <c r="B2106" t="s">
        <v>17</v>
      </c>
      <c r="C2106" t="s">
        <v>193</v>
      </c>
      <c r="D2106" t="s">
        <v>25</v>
      </c>
      <c r="E2106">
        <v>86</v>
      </c>
      <c r="F2106">
        <v>182</v>
      </c>
      <c r="G2106" s="1">
        <v>3500</v>
      </c>
      <c r="H2106" s="1">
        <v>3000</v>
      </c>
      <c r="I2106" s="1">
        <v>11400</v>
      </c>
      <c r="J2106" s="1">
        <v>3800</v>
      </c>
    </row>
    <row r="2107" spans="1:10" x14ac:dyDescent="0.3">
      <c r="A2107" t="s">
        <v>117</v>
      </c>
      <c r="B2107" t="s">
        <v>14</v>
      </c>
      <c r="C2107" t="s">
        <v>193</v>
      </c>
      <c r="D2107" t="s">
        <v>25</v>
      </c>
      <c r="E2107">
        <v>86</v>
      </c>
      <c r="F2107">
        <v>182</v>
      </c>
      <c r="G2107" s="1">
        <v>1500</v>
      </c>
      <c r="H2107" s="1">
        <v>1050</v>
      </c>
      <c r="I2107" s="1">
        <v>3255</v>
      </c>
      <c r="J2107" s="1">
        <v>3100</v>
      </c>
    </row>
    <row r="2108" spans="1:10" x14ac:dyDescent="0.3">
      <c r="A2108" t="s">
        <v>117</v>
      </c>
      <c r="B2108" t="s">
        <v>12</v>
      </c>
      <c r="C2108" t="s">
        <v>193</v>
      </c>
      <c r="D2108" t="s">
        <v>25</v>
      </c>
      <c r="E2108">
        <v>86</v>
      </c>
      <c r="F2108">
        <v>182</v>
      </c>
      <c r="G2108" s="1">
        <v>1350</v>
      </c>
      <c r="H2108" s="1">
        <v>700</v>
      </c>
      <c r="I2108" s="1">
        <v>2100</v>
      </c>
      <c r="J2108" s="1">
        <v>3000</v>
      </c>
    </row>
    <row r="2109" spans="1:10" x14ac:dyDescent="0.3">
      <c r="A2109" t="s">
        <v>117</v>
      </c>
      <c r="B2109" t="s">
        <v>9</v>
      </c>
      <c r="C2109" t="s">
        <v>193</v>
      </c>
      <c r="D2109" t="s">
        <v>25</v>
      </c>
      <c r="E2109">
        <v>86</v>
      </c>
      <c r="F2109">
        <v>182</v>
      </c>
      <c r="G2109" s="1">
        <v>1280</v>
      </c>
      <c r="H2109" s="1">
        <v>630</v>
      </c>
      <c r="I2109" s="1">
        <v>1764</v>
      </c>
      <c r="J2109" s="1">
        <v>2800</v>
      </c>
    </row>
    <row r="2110" spans="1:10" x14ac:dyDescent="0.3">
      <c r="A2110" t="s">
        <v>117</v>
      </c>
      <c r="B2110" t="s">
        <v>8</v>
      </c>
      <c r="C2110" t="s">
        <v>193</v>
      </c>
      <c r="D2110" t="s">
        <v>25</v>
      </c>
      <c r="E2110">
        <v>86</v>
      </c>
      <c r="F2110">
        <v>182</v>
      </c>
      <c r="G2110" s="1">
        <v>800</v>
      </c>
      <c r="H2110" s="1">
        <v>800</v>
      </c>
      <c r="I2110" s="1">
        <v>1200</v>
      </c>
      <c r="J2110" s="1">
        <v>1500</v>
      </c>
    </row>
    <row r="2111" spans="1:10" x14ac:dyDescent="0.3">
      <c r="A2111" t="s">
        <v>117</v>
      </c>
      <c r="B2111" t="s">
        <v>7</v>
      </c>
      <c r="C2111" t="s">
        <v>193</v>
      </c>
      <c r="D2111" t="s">
        <v>25</v>
      </c>
      <c r="E2111">
        <v>86</v>
      </c>
      <c r="F2111">
        <v>182</v>
      </c>
      <c r="G2111" s="1">
        <v>950</v>
      </c>
      <c r="H2111" s="1">
        <v>950</v>
      </c>
      <c r="I2111" s="1">
        <v>3420</v>
      </c>
      <c r="J2111" s="1">
        <v>3600</v>
      </c>
    </row>
    <row r="2112" spans="1:10" x14ac:dyDescent="0.3">
      <c r="A2112" t="s">
        <v>117</v>
      </c>
      <c r="B2112" t="s">
        <v>6</v>
      </c>
      <c r="C2112" t="s">
        <v>193</v>
      </c>
      <c r="D2112" t="s">
        <v>25</v>
      </c>
      <c r="E2112">
        <v>86</v>
      </c>
      <c r="F2112">
        <v>182</v>
      </c>
      <c r="G2112" s="1">
        <v>902</v>
      </c>
      <c r="H2112" s="1">
        <v>552</v>
      </c>
      <c r="I2112" s="1">
        <v>1766</v>
      </c>
      <c r="J2112" s="1">
        <v>3199</v>
      </c>
    </row>
    <row r="2113" spans="1:10" x14ac:dyDescent="0.3">
      <c r="A2113" t="s">
        <v>117</v>
      </c>
      <c r="B2113" t="s">
        <v>5</v>
      </c>
      <c r="C2113" t="s">
        <v>193</v>
      </c>
      <c r="D2113" t="s">
        <v>25</v>
      </c>
      <c r="E2113">
        <v>86</v>
      </c>
      <c r="F2113">
        <v>182</v>
      </c>
      <c r="G2113" s="1">
        <v>903</v>
      </c>
      <c r="H2113" s="1">
        <v>903</v>
      </c>
      <c r="I2113" s="1">
        <v>2077</v>
      </c>
      <c r="J2113" s="1">
        <v>2300</v>
      </c>
    </row>
    <row r="2114" spans="1:10" x14ac:dyDescent="0.3">
      <c r="A2114" t="s">
        <v>117</v>
      </c>
      <c r="B2114" t="s">
        <v>4</v>
      </c>
      <c r="C2114" t="s">
        <v>193</v>
      </c>
      <c r="D2114" t="s">
        <v>25</v>
      </c>
      <c r="E2114">
        <v>86</v>
      </c>
      <c r="F2114">
        <v>182</v>
      </c>
      <c r="G2114" s="1">
        <v>1050</v>
      </c>
      <c r="H2114" s="1">
        <v>540</v>
      </c>
      <c r="I2114" s="1">
        <v>1296</v>
      </c>
      <c r="J2114" s="1">
        <v>2400</v>
      </c>
    </row>
    <row r="2115" spans="1:10" x14ac:dyDescent="0.3">
      <c r="A2115" t="s">
        <v>117</v>
      </c>
      <c r="B2115" t="s">
        <v>3</v>
      </c>
      <c r="C2115" t="s">
        <v>193</v>
      </c>
      <c r="D2115" t="s">
        <v>25</v>
      </c>
      <c r="E2115">
        <v>86</v>
      </c>
      <c r="F2115">
        <v>182</v>
      </c>
      <c r="G2115" s="1">
        <v>1410</v>
      </c>
      <c r="H2115" s="1">
        <v>1300</v>
      </c>
      <c r="I2115" s="1">
        <v>2730</v>
      </c>
      <c r="J2115" s="1">
        <v>2100</v>
      </c>
    </row>
    <row r="2116" spans="1:10" x14ac:dyDescent="0.3">
      <c r="A2116" t="s">
        <v>117</v>
      </c>
      <c r="B2116" t="s">
        <v>18</v>
      </c>
      <c r="C2116" t="s">
        <v>193</v>
      </c>
      <c r="D2116" t="s">
        <v>33</v>
      </c>
      <c r="E2116">
        <v>86</v>
      </c>
      <c r="F2116">
        <v>189</v>
      </c>
      <c r="G2116" s="1">
        <v>2200</v>
      </c>
      <c r="H2116" s="1">
        <v>1200</v>
      </c>
      <c r="I2116" s="1">
        <v>4560</v>
      </c>
      <c r="J2116" s="1">
        <v>3800</v>
      </c>
    </row>
    <row r="2117" spans="1:10" x14ac:dyDescent="0.3">
      <c r="A2117" t="s">
        <v>117</v>
      </c>
      <c r="B2117" t="s">
        <v>14</v>
      </c>
      <c r="C2117" t="s">
        <v>193</v>
      </c>
      <c r="D2117" t="s">
        <v>33</v>
      </c>
      <c r="E2117">
        <v>86</v>
      </c>
      <c r="F2117">
        <v>189</v>
      </c>
      <c r="G2117" s="1">
        <v>3500</v>
      </c>
      <c r="H2117" s="1">
        <v>3150</v>
      </c>
      <c r="I2117" s="1">
        <v>14175</v>
      </c>
      <c r="J2117" s="1">
        <v>4500</v>
      </c>
    </row>
    <row r="2118" spans="1:10" x14ac:dyDescent="0.3">
      <c r="A2118" t="s">
        <v>117</v>
      </c>
      <c r="B2118" t="s">
        <v>12</v>
      </c>
      <c r="C2118" t="s">
        <v>193</v>
      </c>
      <c r="D2118" t="s">
        <v>33</v>
      </c>
      <c r="E2118">
        <v>86</v>
      </c>
      <c r="F2118">
        <v>189</v>
      </c>
      <c r="G2118" s="1">
        <v>1500</v>
      </c>
      <c r="H2118" s="1">
        <v>1350</v>
      </c>
      <c r="I2118" s="1">
        <v>4455</v>
      </c>
      <c r="J2118" s="1">
        <v>3300</v>
      </c>
    </row>
    <row r="2119" spans="1:10" x14ac:dyDescent="0.3">
      <c r="A2119" t="s">
        <v>117</v>
      </c>
      <c r="B2119" t="s">
        <v>9</v>
      </c>
      <c r="C2119" t="s">
        <v>193</v>
      </c>
      <c r="D2119" t="s">
        <v>33</v>
      </c>
      <c r="E2119">
        <v>86</v>
      </c>
      <c r="F2119">
        <v>189</v>
      </c>
      <c r="G2119" s="1">
        <v>1500</v>
      </c>
      <c r="H2119" s="1">
        <v>1300</v>
      </c>
      <c r="I2119" s="1">
        <v>6500</v>
      </c>
      <c r="J2119" s="1">
        <v>5000</v>
      </c>
    </row>
    <row r="2120" spans="1:10" x14ac:dyDescent="0.3">
      <c r="A2120" t="s">
        <v>117</v>
      </c>
      <c r="B2120" t="s">
        <v>8</v>
      </c>
      <c r="C2120" t="s">
        <v>193</v>
      </c>
      <c r="D2120" t="s">
        <v>33</v>
      </c>
      <c r="E2120">
        <v>86</v>
      </c>
      <c r="F2120">
        <v>189</v>
      </c>
      <c r="G2120" s="1">
        <v>1500</v>
      </c>
      <c r="H2120" s="1">
        <v>1350</v>
      </c>
      <c r="I2120" s="1">
        <v>6075</v>
      </c>
      <c r="J2120" s="1">
        <v>4500</v>
      </c>
    </row>
    <row r="2121" spans="1:10" x14ac:dyDescent="0.3">
      <c r="A2121" t="s">
        <v>117</v>
      </c>
      <c r="B2121" t="s">
        <v>7</v>
      </c>
      <c r="C2121" t="s">
        <v>193</v>
      </c>
      <c r="D2121" t="s">
        <v>33</v>
      </c>
      <c r="E2121">
        <v>86</v>
      </c>
      <c r="F2121">
        <v>189</v>
      </c>
      <c r="G2121" s="1">
        <v>2500</v>
      </c>
      <c r="H2121" s="1">
        <v>2250</v>
      </c>
      <c r="I2121" s="1">
        <v>10125</v>
      </c>
      <c r="J2121" s="1">
        <v>4500</v>
      </c>
    </row>
    <row r="2122" spans="1:10" x14ac:dyDescent="0.3">
      <c r="A2122" t="s">
        <v>117</v>
      </c>
      <c r="B2122" t="s">
        <v>6</v>
      </c>
      <c r="C2122" t="s">
        <v>193</v>
      </c>
      <c r="D2122" t="s">
        <v>33</v>
      </c>
      <c r="E2122">
        <v>86</v>
      </c>
      <c r="F2122">
        <v>189</v>
      </c>
      <c r="G2122" s="1">
        <v>2500</v>
      </c>
      <c r="H2122" s="1">
        <v>2250</v>
      </c>
      <c r="I2122" s="1">
        <v>10125</v>
      </c>
      <c r="J2122" s="1">
        <v>4500</v>
      </c>
    </row>
    <row r="2123" spans="1:10" x14ac:dyDescent="0.3">
      <c r="A2123" t="s">
        <v>117</v>
      </c>
      <c r="B2123" t="s">
        <v>5</v>
      </c>
      <c r="C2123" t="s">
        <v>193</v>
      </c>
      <c r="D2123" t="s">
        <v>33</v>
      </c>
      <c r="E2123">
        <v>86</v>
      </c>
      <c r="F2123">
        <v>189</v>
      </c>
      <c r="G2123" s="1">
        <v>2500</v>
      </c>
      <c r="H2123" s="1">
        <v>2000</v>
      </c>
      <c r="I2123" s="1">
        <v>11000</v>
      </c>
      <c r="J2123" s="1">
        <v>5500</v>
      </c>
    </row>
    <row r="2124" spans="1:10" x14ac:dyDescent="0.3">
      <c r="A2124" t="s">
        <v>117</v>
      </c>
      <c r="B2124" t="s">
        <v>4</v>
      </c>
      <c r="C2124" t="s">
        <v>193</v>
      </c>
      <c r="D2124" t="s">
        <v>33</v>
      </c>
      <c r="E2124">
        <v>86</v>
      </c>
      <c r="F2124">
        <v>189</v>
      </c>
      <c r="G2124" s="1">
        <v>2500</v>
      </c>
      <c r="H2124" s="1">
        <v>1970</v>
      </c>
      <c r="I2124" s="1">
        <v>6895</v>
      </c>
      <c r="J2124" s="1">
        <v>3500</v>
      </c>
    </row>
    <row r="2125" spans="1:10" x14ac:dyDescent="0.3">
      <c r="A2125" t="s">
        <v>117</v>
      </c>
      <c r="B2125" t="s">
        <v>3</v>
      </c>
      <c r="C2125" t="s">
        <v>193</v>
      </c>
      <c r="D2125" t="s">
        <v>33</v>
      </c>
      <c r="E2125">
        <v>86</v>
      </c>
      <c r="F2125">
        <v>189</v>
      </c>
      <c r="G2125" s="1">
        <v>2750</v>
      </c>
      <c r="H2125" s="1">
        <v>2355</v>
      </c>
      <c r="I2125" s="1">
        <v>9420</v>
      </c>
      <c r="J2125" s="1">
        <v>4000</v>
      </c>
    </row>
    <row r="2126" spans="1:10" x14ac:dyDescent="0.3">
      <c r="A2126" t="s">
        <v>21</v>
      </c>
      <c r="B2126" t="s">
        <v>6</v>
      </c>
      <c r="C2126" t="s">
        <v>193</v>
      </c>
      <c r="D2126" t="s">
        <v>74</v>
      </c>
      <c r="E2126">
        <v>86</v>
      </c>
      <c r="F2126">
        <v>42</v>
      </c>
      <c r="G2126" s="1">
        <v>700</v>
      </c>
      <c r="H2126" s="1">
        <v>200</v>
      </c>
      <c r="I2126" s="1">
        <v>300</v>
      </c>
      <c r="J2126" s="1">
        <v>1500</v>
      </c>
    </row>
    <row r="2127" spans="1:10" x14ac:dyDescent="0.3">
      <c r="A2127" t="s">
        <v>21</v>
      </c>
      <c r="B2127" t="s">
        <v>6</v>
      </c>
      <c r="C2127" t="s">
        <v>193</v>
      </c>
      <c r="D2127" t="s">
        <v>75</v>
      </c>
      <c r="E2127">
        <v>86</v>
      </c>
      <c r="F2127">
        <v>77</v>
      </c>
      <c r="G2127" s="1">
        <v>800</v>
      </c>
      <c r="H2127" s="1">
        <v>200</v>
      </c>
      <c r="I2127" s="1">
        <v>280</v>
      </c>
      <c r="J2127" s="1">
        <v>1400</v>
      </c>
    </row>
    <row r="2128" spans="1:10" x14ac:dyDescent="0.3">
      <c r="A2128" t="s">
        <v>21</v>
      </c>
      <c r="B2128" t="s">
        <v>6</v>
      </c>
      <c r="C2128" t="s">
        <v>193</v>
      </c>
      <c r="D2128" t="s">
        <v>68</v>
      </c>
      <c r="E2128">
        <v>86</v>
      </c>
      <c r="F2128">
        <v>133</v>
      </c>
      <c r="G2128" s="1">
        <v>200</v>
      </c>
      <c r="H2128" s="1">
        <v>200</v>
      </c>
      <c r="I2128" s="1">
        <v>360</v>
      </c>
      <c r="J2128" s="1">
        <v>1800</v>
      </c>
    </row>
    <row r="2129" spans="1:10" x14ac:dyDescent="0.3">
      <c r="A2129" t="s">
        <v>21</v>
      </c>
      <c r="B2129" t="s">
        <v>5</v>
      </c>
      <c r="C2129" t="s">
        <v>193</v>
      </c>
      <c r="D2129" t="s">
        <v>68</v>
      </c>
      <c r="E2129">
        <v>86</v>
      </c>
      <c r="F2129">
        <v>133</v>
      </c>
      <c r="G2129" s="1">
        <v>200</v>
      </c>
      <c r="H2129" s="1">
        <v>200</v>
      </c>
      <c r="I2129" s="1">
        <v>200</v>
      </c>
      <c r="J2129" s="1">
        <v>1000</v>
      </c>
    </row>
    <row r="2130" spans="1:10" x14ac:dyDescent="0.3">
      <c r="A2130" t="s">
        <v>21</v>
      </c>
      <c r="B2130" t="s">
        <v>4</v>
      </c>
      <c r="C2130" t="s">
        <v>193</v>
      </c>
      <c r="D2130" t="s">
        <v>68</v>
      </c>
      <c r="E2130">
        <v>86</v>
      </c>
      <c r="F2130">
        <v>133</v>
      </c>
      <c r="G2130" s="1">
        <v>200</v>
      </c>
      <c r="H2130" s="1">
        <v>200</v>
      </c>
      <c r="I2130" s="1">
        <v>400</v>
      </c>
      <c r="J2130" s="1">
        <v>2000</v>
      </c>
    </row>
    <row r="2131" spans="1:10" x14ac:dyDescent="0.3">
      <c r="A2131" t="s">
        <v>21</v>
      </c>
      <c r="B2131" t="s">
        <v>3</v>
      </c>
      <c r="C2131" t="s">
        <v>193</v>
      </c>
      <c r="D2131" t="s">
        <v>68</v>
      </c>
      <c r="E2131">
        <v>86</v>
      </c>
      <c r="F2131">
        <v>133</v>
      </c>
      <c r="G2131" s="1">
        <v>200</v>
      </c>
      <c r="H2131" s="1">
        <v>200</v>
      </c>
      <c r="I2131" s="1">
        <v>180</v>
      </c>
      <c r="J2131" s="1">
        <v>900</v>
      </c>
    </row>
    <row r="2132" spans="1:10" x14ac:dyDescent="0.3">
      <c r="A2132" t="s">
        <v>21</v>
      </c>
      <c r="B2132" t="s">
        <v>0</v>
      </c>
      <c r="C2132" t="s">
        <v>193</v>
      </c>
      <c r="D2132" t="s">
        <v>68</v>
      </c>
      <c r="E2132">
        <v>86</v>
      </c>
      <c r="F2132">
        <v>133</v>
      </c>
      <c r="G2132" s="1">
        <v>200</v>
      </c>
      <c r="H2132" s="1">
        <v>140</v>
      </c>
      <c r="I2132" s="1">
        <v>112</v>
      </c>
      <c r="J2132" s="1">
        <v>800</v>
      </c>
    </row>
    <row r="2133" spans="1:10" x14ac:dyDescent="0.3">
      <c r="A2133" t="s">
        <v>21</v>
      </c>
      <c r="B2133" t="s">
        <v>7</v>
      </c>
      <c r="C2133" t="s">
        <v>193</v>
      </c>
      <c r="D2133" t="s">
        <v>65</v>
      </c>
      <c r="E2133">
        <v>86</v>
      </c>
      <c r="F2133">
        <v>147</v>
      </c>
      <c r="G2133" s="1">
        <v>2674</v>
      </c>
      <c r="H2133" s="1">
        <v>2674</v>
      </c>
      <c r="I2133" s="1">
        <v>4011</v>
      </c>
      <c r="J2133" s="1">
        <v>1500</v>
      </c>
    </row>
    <row r="2134" spans="1:10" x14ac:dyDescent="0.3">
      <c r="A2134" t="s">
        <v>21</v>
      </c>
      <c r="B2134" t="s">
        <v>6</v>
      </c>
      <c r="C2134" t="s">
        <v>193</v>
      </c>
      <c r="D2134" t="s">
        <v>65</v>
      </c>
      <c r="E2134">
        <v>86</v>
      </c>
      <c r="F2134">
        <v>147</v>
      </c>
      <c r="G2134" s="1">
        <v>1500</v>
      </c>
      <c r="H2134" s="1">
        <v>1500</v>
      </c>
      <c r="I2134" s="1">
        <v>2700</v>
      </c>
      <c r="J2134" s="1">
        <v>1800</v>
      </c>
    </row>
    <row r="2135" spans="1:10" x14ac:dyDescent="0.3">
      <c r="A2135" t="s">
        <v>21</v>
      </c>
      <c r="B2135" t="s">
        <v>5</v>
      </c>
      <c r="C2135" t="s">
        <v>193</v>
      </c>
      <c r="D2135" t="s">
        <v>65</v>
      </c>
      <c r="E2135">
        <v>86</v>
      </c>
      <c r="F2135">
        <v>147</v>
      </c>
      <c r="G2135" s="1">
        <v>1500</v>
      </c>
      <c r="H2135" s="1">
        <v>1500</v>
      </c>
      <c r="I2135" s="1">
        <v>1500</v>
      </c>
      <c r="J2135" s="1">
        <v>1000</v>
      </c>
    </row>
    <row r="2136" spans="1:10" x14ac:dyDescent="0.3">
      <c r="A2136" t="s">
        <v>21</v>
      </c>
      <c r="B2136" t="s">
        <v>4</v>
      </c>
      <c r="C2136" t="s">
        <v>193</v>
      </c>
      <c r="D2136" t="s">
        <v>65</v>
      </c>
      <c r="E2136">
        <v>86</v>
      </c>
      <c r="F2136">
        <v>147</v>
      </c>
      <c r="G2136" s="1">
        <v>1500</v>
      </c>
      <c r="H2136" s="1">
        <v>1500</v>
      </c>
      <c r="I2136" s="1">
        <v>2550</v>
      </c>
      <c r="J2136" s="1">
        <v>1700</v>
      </c>
    </row>
    <row r="2137" spans="1:10" x14ac:dyDescent="0.3">
      <c r="A2137" t="s">
        <v>21</v>
      </c>
      <c r="B2137" t="s">
        <v>3</v>
      </c>
      <c r="C2137" t="s">
        <v>193</v>
      </c>
      <c r="D2137" t="s">
        <v>65</v>
      </c>
      <c r="E2137">
        <v>86</v>
      </c>
      <c r="F2137">
        <v>147</v>
      </c>
      <c r="G2137" s="1">
        <v>1500</v>
      </c>
      <c r="H2137" s="1">
        <v>1450</v>
      </c>
      <c r="I2137" s="1">
        <v>1595</v>
      </c>
      <c r="J2137" s="1">
        <v>1100</v>
      </c>
    </row>
    <row r="2138" spans="1:10" x14ac:dyDescent="0.3">
      <c r="A2138" t="s">
        <v>21</v>
      </c>
      <c r="B2138" t="s">
        <v>0</v>
      </c>
      <c r="C2138" t="s">
        <v>193</v>
      </c>
      <c r="D2138" t="s">
        <v>65</v>
      </c>
      <c r="E2138">
        <v>86</v>
      </c>
      <c r="F2138">
        <v>147</v>
      </c>
      <c r="G2138" s="1">
        <v>1500</v>
      </c>
      <c r="H2138" s="1">
        <v>1300</v>
      </c>
      <c r="I2138" s="1">
        <v>1170</v>
      </c>
      <c r="J2138" s="1">
        <v>900</v>
      </c>
    </row>
    <row r="2139" spans="1:10" x14ac:dyDescent="0.3">
      <c r="A2139" t="s">
        <v>21</v>
      </c>
      <c r="B2139" t="s">
        <v>6</v>
      </c>
      <c r="C2139" t="s">
        <v>193</v>
      </c>
      <c r="D2139" t="s">
        <v>42</v>
      </c>
      <c r="E2139">
        <v>86</v>
      </c>
      <c r="F2139">
        <v>161</v>
      </c>
      <c r="G2139" s="1">
        <v>1200</v>
      </c>
      <c r="H2139" s="1">
        <v>1200</v>
      </c>
      <c r="I2139" s="1">
        <v>2160</v>
      </c>
      <c r="J2139" s="1">
        <v>1800</v>
      </c>
    </row>
    <row r="2140" spans="1:10" x14ac:dyDescent="0.3">
      <c r="A2140" t="s">
        <v>21</v>
      </c>
      <c r="B2140" t="s">
        <v>5</v>
      </c>
      <c r="C2140" t="s">
        <v>193</v>
      </c>
      <c r="D2140" t="s">
        <v>42</v>
      </c>
      <c r="E2140">
        <v>86</v>
      </c>
      <c r="F2140">
        <v>161</v>
      </c>
      <c r="G2140" s="1">
        <v>1200</v>
      </c>
      <c r="H2140" s="1">
        <v>1200</v>
      </c>
      <c r="I2140" s="1">
        <v>1800</v>
      </c>
      <c r="J2140" s="1">
        <v>1500</v>
      </c>
    </row>
    <row r="2141" spans="1:10" x14ac:dyDescent="0.3">
      <c r="A2141" t="s">
        <v>21</v>
      </c>
      <c r="B2141" t="s">
        <v>4</v>
      </c>
      <c r="C2141" t="s">
        <v>193</v>
      </c>
      <c r="D2141" t="s">
        <v>42</v>
      </c>
      <c r="E2141">
        <v>86</v>
      </c>
      <c r="F2141">
        <v>161</v>
      </c>
      <c r="G2141" s="1">
        <v>1000</v>
      </c>
      <c r="H2141" s="1">
        <v>1000</v>
      </c>
      <c r="I2141" s="1">
        <v>1700</v>
      </c>
      <c r="J2141" s="1">
        <v>1700</v>
      </c>
    </row>
    <row r="2142" spans="1:10" x14ac:dyDescent="0.3">
      <c r="A2142" t="s">
        <v>21</v>
      </c>
      <c r="B2142" t="s">
        <v>3</v>
      </c>
      <c r="C2142" t="s">
        <v>193</v>
      </c>
      <c r="D2142" t="s">
        <v>42</v>
      </c>
      <c r="E2142">
        <v>86</v>
      </c>
      <c r="F2142">
        <v>161</v>
      </c>
      <c r="G2142" s="1">
        <v>1000</v>
      </c>
      <c r="H2142" s="1">
        <v>955</v>
      </c>
      <c r="I2142" s="1">
        <v>1051</v>
      </c>
      <c r="J2142" s="1">
        <v>1101</v>
      </c>
    </row>
    <row r="2143" spans="1:10" x14ac:dyDescent="0.3">
      <c r="A2143" t="s">
        <v>21</v>
      </c>
      <c r="B2143" t="s">
        <v>0</v>
      </c>
      <c r="C2143" t="s">
        <v>193</v>
      </c>
      <c r="D2143" t="s">
        <v>42</v>
      </c>
      <c r="E2143">
        <v>86</v>
      </c>
      <c r="F2143">
        <v>161</v>
      </c>
      <c r="G2143" s="1">
        <v>1000</v>
      </c>
      <c r="H2143" s="1">
        <v>920</v>
      </c>
      <c r="I2143" s="1">
        <v>828</v>
      </c>
      <c r="J2143" s="1">
        <v>900</v>
      </c>
    </row>
    <row r="2144" spans="1:10" x14ac:dyDescent="0.3">
      <c r="A2144" t="s">
        <v>21</v>
      </c>
      <c r="B2144" t="s">
        <v>4</v>
      </c>
      <c r="C2144" t="s">
        <v>193</v>
      </c>
      <c r="D2144" t="s">
        <v>33</v>
      </c>
      <c r="E2144">
        <v>86</v>
      </c>
      <c r="F2144">
        <v>189</v>
      </c>
      <c r="G2144" s="1">
        <v>500</v>
      </c>
      <c r="H2144" s="1">
        <v>500</v>
      </c>
      <c r="I2144" s="1">
        <v>1000</v>
      </c>
      <c r="J2144" s="1">
        <v>2000</v>
      </c>
    </row>
    <row r="2145" spans="1:10" x14ac:dyDescent="0.3">
      <c r="A2145" t="s">
        <v>21</v>
      </c>
      <c r="B2145" t="s">
        <v>3</v>
      </c>
      <c r="C2145" t="s">
        <v>193</v>
      </c>
      <c r="D2145" t="s">
        <v>33</v>
      </c>
      <c r="E2145">
        <v>86</v>
      </c>
      <c r="F2145">
        <v>189</v>
      </c>
      <c r="G2145" s="1">
        <v>500</v>
      </c>
      <c r="H2145" s="1">
        <v>445</v>
      </c>
      <c r="I2145" s="1">
        <v>490</v>
      </c>
      <c r="J2145" s="1">
        <v>1101</v>
      </c>
    </row>
    <row r="2146" spans="1:10" x14ac:dyDescent="0.3">
      <c r="A2146" t="s">
        <v>21</v>
      </c>
      <c r="B2146" t="s">
        <v>0</v>
      </c>
      <c r="C2146" t="s">
        <v>193</v>
      </c>
      <c r="D2146" t="s">
        <v>33</v>
      </c>
      <c r="E2146">
        <v>86</v>
      </c>
      <c r="F2146">
        <v>189</v>
      </c>
      <c r="G2146" s="1">
        <v>500</v>
      </c>
      <c r="H2146" s="1">
        <v>440</v>
      </c>
      <c r="I2146" s="1">
        <v>396</v>
      </c>
      <c r="J2146" s="1">
        <v>900</v>
      </c>
    </row>
    <row r="2147" spans="1:10" x14ac:dyDescent="0.3">
      <c r="A2147" t="s">
        <v>19</v>
      </c>
      <c r="B2147" t="s">
        <v>17</v>
      </c>
      <c r="C2147" t="s">
        <v>193</v>
      </c>
      <c r="D2147" t="s">
        <v>64</v>
      </c>
      <c r="E2147">
        <v>86</v>
      </c>
      <c r="F2147">
        <v>7</v>
      </c>
      <c r="G2147" s="1">
        <v>2400</v>
      </c>
      <c r="H2147" s="1">
        <v>2000</v>
      </c>
      <c r="I2147" s="1">
        <v>4200</v>
      </c>
      <c r="J2147" s="1">
        <v>2100</v>
      </c>
    </row>
    <row r="2148" spans="1:10" x14ac:dyDescent="0.3">
      <c r="A2148" t="s">
        <v>19</v>
      </c>
      <c r="B2148" t="s">
        <v>14</v>
      </c>
      <c r="C2148" t="s">
        <v>193</v>
      </c>
      <c r="D2148" t="s">
        <v>64</v>
      </c>
      <c r="E2148">
        <v>86</v>
      </c>
      <c r="F2148">
        <v>7</v>
      </c>
      <c r="G2148" s="1">
        <v>10000</v>
      </c>
      <c r="H2148" s="1">
        <v>6590</v>
      </c>
      <c r="I2148" s="1">
        <v>15157</v>
      </c>
      <c r="J2148" s="1">
        <v>2300</v>
      </c>
    </row>
    <row r="2149" spans="1:10" x14ac:dyDescent="0.3">
      <c r="A2149" t="s">
        <v>19</v>
      </c>
      <c r="B2149" t="s">
        <v>12</v>
      </c>
      <c r="C2149" t="s">
        <v>193</v>
      </c>
      <c r="D2149" t="s">
        <v>64</v>
      </c>
      <c r="E2149">
        <v>86</v>
      </c>
      <c r="F2149">
        <v>7</v>
      </c>
      <c r="G2149" s="1">
        <v>16820</v>
      </c>
      <c r="H2149" s="1">
        <v>16820</v>
      </c>
      <c r="I2149" s="1">
        <v>28594</v>
      </c>
      <c r="J2149" s="1">
        <v>1700</v>
      </c>
    </row>
    <row r="2150" spans="1:10" x14ac:dyDescent="0.3">
      <c r="A2150" t="s">
        <v>19</v>
      </c>
      <c r="B2150" t="s">
        <v>9</v>
      </c>
      <c r="C2150" t="s">
        <v>193</v>
      </c>
      <c r="D2150" t="s">
        <v>64</v>
      </c>
      <c r="E2150">
        <v>86</v>
      </c>
      <c r="F2150">
        <v>7</v>
      </c>
      <c r="G2150" s="1">
        <v>10800</v>
      </c>
      <c r="H2150" s="1">
        <v>10800</v>
      </c>
      <c r="I2150" s="1">
        <v>25920</v>
      </c>
      <c r="J2150" s="1">
        <v>2400</v>
      </c>
    </row>
    <row r="2151" spans="1:10" x14ac:dyDescent="0.3">
      <c r="A2151" t="s">
        <v>19</v>
      </c>
      <c r="B2151" t="s">
        <v>8</v>
      </c>
      <c r="C2151" t="s">
        <v>193</v>
      </c>
      <c r="D2151" t="s">
        <v>64</v>
      </c>
      <c r="E2151">
        <v>86</v>
      </c>
      <c r="F2151">
        <v>7</v>
      </c>
      <c r="G2151" s="1">
        <v>21000</v>
      </c>
      <c r="H2151" s="1">
        <v>21000</v>
      </c>
      <c r="I2151" s="1">
        <v>52500</v>
      </c>
      <c r="J2151" s="1">
        <v>2500</v>
      </c>
    </row>
    <row r="2152" spans="1:10" x14ac:dyDescent="0.3">
      <c r="A2152" t="s">
        <v>19</v>
      </c>
      <c r="B2152" t="s">
        <v>7</v>
      </c>
      <c r="C2152" t="s">
        <v>193</v>
      </c>
      <c r="D2152" t="s">
        <v>64</v>
      </c>
      <c r="E2152">
        <v>86</v>
      </c>
      <c r="F2152">
        <v>7</v>
      </c>
      <c r="G2152" s="1">
        <v>16500</v>
      </c>
      <c r="H2152" s="1">
        <v>7500</v>
      </c>
      <c r="I2152" s="1">
        <v>6000</v>
      </c>
      <c r="J2152" s="1">
        <v>800</v>
      </c>
    </row>
    <row r="2153" spans="1:10" x14ac:dyDescent="0.3">
      <c r="A2153" t="s">
        <v>19</v>
      </c>
      <c r="B2153" t="s">
        <v>6</v>
      </c>
      <c r="C2153" t="s">
        <v>193</v>
      </c>
      <c r="D2153" t="s">
        <v>64</v>
      </c>
      <c r="E2153">
        <v>86</v>
      </c>
      <c r="F2153">
        <v>7</v>
      </c>
      <c r="G2153" s="1">
        <v>26800</v>
      </c>
      <c r="H2153" s="1">
        <v>26800</v>
      </c>
      <c r="I2153" s="1">
        <v>29480</v>
      </c>
      <c r="J2153" s="1">
        <v>1100</v>
      </c>
    </row>
    <row r="2154" spans="1:10" x14ac:dyDescent="0.3">
      <c r="A2154" t="s">
        <v>19</v>
      </c>
      <c r="B2154" t="s">
        <v>5</v>
      </c>
      <c r="C2154" t="s">
        <v>193</v>
      </c>
      <c r="D2154" t="s">
        <v>64</v>
      </c>
      <c r="E2154">
        <v>86</v>
      </c>
      <c r="F2154">
        <v>7</v>
      </c>
      <c r="G2154" s="1">
        <v>8920</v>
      </c>
      <c r="H2154" s="1">
        <v>4920</v>
      </c>
      <c r="I2154" s="1">
        <v>5904</v>
      </c>
      <c r="J2154" s="1">
        <v>1200</v>
      </c>
    </row>
    <row r="2155" spans="1:10" x14ac:dyDescent="0.3">
      <c r="A2155" t="s">
        <v>19</v>
      </c>
      <c r="B2155" t="s">
        <v>4</v>
      </c>
      <c r="C2155" t="s">
        <v>193</v>
      </c>
      <c r="D2155" t="s">
        <v>64</v>
      </c>
      <c r="E2155">
        <v>86</v>
      </c>
      <c r="F2155">
        <v>7</v>
      </c>
      <c r="G2155" s="1">
        <v>11200</v>
      </c>
      <c r="H2155" s="1">
        <v>11200</v>
      </c>
      <c r="I2155" s="1">
        <v>14560</v>
      </c>
      <c r="J2155" s="1">
        <v>1300</v>
      </c>
    </row>
    <row r="2156" spans="1:10" x14ac:dyDescent="0.3">
      <c r="A2156" t="s">
        <v>19</v>
      </c>
      <c r="B2156" t="s">
        <v>3</v>
      </c>
      <c r="C2156" t="s">
        <v>193</v>
      </c>
      <c r="D2156" t="s">
        <v>64</v>
      </c>
      <c r="E2156">
        <v>86</v>
      </c>
      <c r="F2156">
        <v>7</v>
      </c>
      <c r="G2156" s="1">
        <v>16100</v>
      </c>
      <c r="H2156" s="1">
        <v>13630</v>
      </c>
      <c r="I2156" s="1">
        <v>12267</v>
      </c>
      <c r="J2156" s="1">
        <v>900</v>
      </c>
    </row>
    <row r="2157" spans="1:10" x14ac:dyDescent="0.3">
      <c r="A2157" t="s">
        <v>19</v>
      </c>
      <c r="B2157" t="s">
        <v>0</v>
      </c>
      <c r="C2157" t="s">
        <v>193</v>
      </c>
      <c r="D2157" t="s">
        <v>64</v>
      </c>
      <c r="E2157">
        <v>86</v>
      </c>
      <c r="F2157">
        <v>7</v>
      </c>
      <c r="G2157" s="1">
        <v>17900</v>
      </c>
      <c r="H2157" s="1">
        <v>17720</v>
      </c>
      <c r="I2157" s="1">
        <v>40756</v>
      </c>
      <c r="J2157" s="1">
        <v>2300</v>
      </c>
    </row>
    <row r="2158" spans="1:10" x14ac:dyDescent="0.3">
      <c r="A2158" t="s">
        <v>19</v>
      </c>
      <c r="B2158" t="s">
        <v>18</v>
      </c>
      <c r="C2158" t="s">
        <v>193</v>
      </c>
      <c r="D2158" t="s">
        <v>62</v>
      </c>
      <c r="E2158">
        <v>86</v>
      </c>
      <c r="F2158">
        <v>14</v>
      </c>
      <c r="G2158" s="1">
        <v>8000</v>
      </c>
      <c r="H2158" s="1">
        <v>4700</v>
      </c>
      <c r="I2158" s="1">
        <v>4700</v>
      </c>
      <c r="J2158" s="1">
        <v>1000</v>
      </c>
    </row>
    <row r="2159" spans="1:10" x14ac:dyDescent="0.3">
      <c r="A2159" t="s">
        <v>19</v>
      </c>
      <c r="B2159" t="s">
        <v>17</v>
      </c>
      <c r="C2159" t="s">
        <v>193</v>
      </c>
      <c r="D2159" t="s">
        <v>62</v>
      </c>
      <c r="E2159">
        <v>86</v>
      </c>
      <c r="F2159">
        <v>14</v>
      </c>
      <c r="G2159" s="1">
        <v>13670</v>
      </c>
      <c r="H2159" s="1">
        <v>11870</v>
      </c>
      <c r="I2159" s="1">
        <v>23740</v>
      </c>
      <c r="J2159" s="1">
        <v>2000</v>
      </c>
    </row>
    <row r="2160" spans="1:10" x14ac:dyDescent="0.3">
      <c r="A2160" t="s">
        <v>19</v>
      </c>
      <c r="B2160" t="s">
        <v>14</v>
      </c>
      <c r="C2160" t="s">
        <v>193</v>
      </c>
      <c r="D2160" t="s">
        <v>62</v>
      </c>
      <c r="E2160">
        <v>86</v>
      </c>
      <c r="F2160">
        <v>14</v>
      </c>
      <c r="G2160" s="1">
        <v>8800</v>
      </c>
      <c r="H2160" s="1">
        <v>5800</v>
      </c>
      <c r="I2160" s="1">
        <v>14500</v>
      </c>
      <c r="J2160" s="1">
        <v>2500</v>
      </c>
    </row>
    <row r="2161" spans="1:10" x14ac:dyDescent="0.3">
      <c r="A2161" t="s">
        <v>19</v>
      </c>
      <c r="B2161" t="s">
        <v>12</v>
      </c>
      <c r="C2161" t="s">
        <v>193</v>
      </c>
      <c r="D2161" t="s">
        <v>62</v>
      </c>
      <c r="E2161">
        <v>86</v>
      </c>
      <c r="F2161">
        <v>14</v>
      </c>
      <c r="G2161" s="1">
        <v>20500</v>
      </c>
      <c r="H2161" s="1">
        <v>20500</v>
      </c>
      <c r="I2161" s="1">
        <v>20500</v>
      </c>
      <c r="J2161" s="1">
        <v>1000</v>
      </c>
    </row>
    <row r="2162" spans="1:10" x14ac:dyDescent="0.3">
      <c r="A2162" t="s">
        <v>19</v>
      </c>
      <c r="B2162" t="s">
        <v>9</v>
      </c>
      <c r="C2162" t="s">
        <v>193</v>
      </c>
      <c r="D2162" t="s">
        <v>62</v>
      </c>
      <c r="E2162">
        <v>86</v>
      </c>
      <c r="F2162">
        <v>14</v>
      </c>
      <c r="G2162" s="1">
        <v>26093</v>
      </c>
      <c r="H2162" s="1">
        <v>26093</v>
      </c>
      <c r="I2162" s="1">
        <v>52186</v>
      </c>
      <c r="J2162" s="1">
        <v>2000</v>
      </c>
    </row>
    <row r="2163" spans="1:10" x14ac:dyDescent="0.3">
      <c r="A2163" t="s">
        <v>19</v>
      </c>
      <c r="B2163" t="s">
        <v>8</v>
      </c>
      <c r="C2163" t="s">
        <v>193</v>
      </c>
      <c r="D2163" t="s">
        <v>62</v>
      </c>
      <c r="E2163">
        <v>86</v>
      </c>
      <c r="F2163">
        <v>14</v>
      </c>
      <c r="G2163" s="1">
        <v>42500</v>
      </c>
      <c r="H2163" s="1">
        <v>42500</v>
      </c>
      <c r="I2163" s="1">
        <v>119000</v>
      </c>
      <c r="J2163" s="1">
        <v>2800</v>
      </c>
    </row>
    <row r="2164" spans="1:10" x14ac:dyDescent="0.3">
      <c r="A2164" t="s">
        <v>19</v>
      </c>
      <c r="B2164" t="s">
        <v>7</v>
      </c>
      <c r="C2164" t="s">
        <v>193</v>
      </c>
      <c r="D2164" t="s">
        <v>62</v>
      </c>
      <c r="E2164">
        <v>86</v>
      </c>
      <c r="F2164">
        <v>14</v>
      </c>
      <c r="G2164" s="1">
        <v>16300</v>
      </c>
      <c r="H2164" s="1">
        <v>9100</v>
      </c>
      <c r="I2164" s="1">
        <v>5460</v>
      </c>
      <c r="J2164" s="1">
        <v>600</v>
      </c>
    </row>
    <row r="2165" spans="1:10" x14ac:dyDescent="0.3">
      <c r="A2165" t="s">
        <v>19</v>
      </c>
      <c r="B2165" t="s">
        <v>6</v>
      </c>
      <c r="C2165" t="s">
        <v>193</v>
      </c>
      <c r="D2165" t="s">
        <v>62</v>
      </c>
      <c r="E2165">
        <v>86</v>
      </c>
      <c r="F2165">
        <v>14</v>
      </c>
      <c r="G2165" s="1">
        <v>30100</v>
      </c>
      <c r="H2165" s="1">
        <v>23400</v>
      </c>
      <c r="I2165" s="1">
        <v>23400</v>
      </c>
      <c r="J2165" s="1">
        <v>1000</v>
      </c>
    </row>
    <row r="2166" spans="1:10" x14ac:dyDescent="0.3">
      <c r="A2166" t="s">
        <v>19</v>
      </c>
      <c r="B2166" t="s">
        <v>5</v>
      </c>
      <c r="C2166" t="s">
        <v>193</v>
      </c>
      <c r="D2166" t="s">
        <v>62</v>
      </c>
      <c r="E2166">
        <v>86</v>
      </c>
      <c r="F2166">
        <v>14</v>
      </c>
      <c r="G2166" s="1">
        <v>5000</v>
      </c>
      <c r="H2166" s="1">
        <v>1900</v>
      </c>
      <c r="I2166" s="1">
        <v>2090</v>
      </c>
      <c r="J2166" s="1">
        <v>1100</v>
      </c>
    </row>
    <row r="2167" spans="1:10" x14ac:dyDescent="0.3">
      <c r="A2167" t="s">
        <v>19</v>
      </c>
      <c r="B2167" t="s">
        <v>4</v>
      </c>
      <c r="C2167" t="s">
        <v>193</v>
      </c>
      <c r="D2167" t="s">
        <v>62</v>
      </c>
      <c r="E2167">
        <v>86</v>
      </c>
      <c r="F2167">
        <v>14</v>
      </c>
      <c r="G2167" s="1">
        <v>15450</v>
      </c>
      <c r="H2167" s="1">
        <v>14580</v>
      </c>
      <c r="I2167" s="1">
        <v>17496</v>
      </c>
      <c r="J2167" s="1">
        <v>1200</v>
      </c>
    </row>
    <row r="2168" spans="1:10" x14ac:dyDescent="0.3">
      <c r="A2168" t="s">
        <v>19</v>
      </c>
      <c r="B2168" t="s">
        <v>3</v>
      </c>
      <c r="C2168" t="s">
        <v>193</v>
      </c>
      <c r="D2168" t="s">
        <v>62</v>
      </c>
      <c r="E2168">
        <v>86</v>
      </c>
      <c r="F2168">
        <v>14</v>
      </c>
      <c r="G2168" s="1">
        <v>20700</v>
      </c>
      <c r="H2168" s="1">
        <v>15840</v>
      </c>
      <c r="I2168" s="1">
        <v>14256</v>
      </c>
      <c r="J2168" s="1">
        <v>900</v>
      </c>
    </row>
    <row r="2169" spans="1:10" x14ac:dyDescent="0.3">
      <c r="A2169" t="s">
        <v>19</v>
      </c>
      <c r="B2169" t="s">
        <v>0</v>
      </c>
      <c r="C2169" t="s">
        <v>193</v>
      </c>
      <c r="D2169" t="s">
        <v>62</v>
      </c>
      <c r="E2169">
        <v>86</v>
      </c>
      <c r="F2169">
        <v>14</v>
      </c>
      <c r="G2169" s="1">
        <v>30200</v>
      </c>
      <c r="H2169" s="1">
        <v>29780</v>
      </c>
      <c r="I2169" s="1">
        <v>56582</v>
      </c>
      <c r="J2169" s="1">
        <v>1900</v>
      </c>
    </row>
    <row r="2170" spans="1:10" x14ac:dyDescent="0.3">
      <c r="A2170" t="s">
        <v>19</v>
      </c>
      <c r="B2170" t="s">
        <v>3</v>
      </c>
      <c r="C2170" t="s">
        <v>193</v>
      </c>
      <c r="D2170" t="s">
        <v>37</v>
      </c>
      <c r="E2170">
        <v>86</v>
      </c>
      <c r="F2170">
        <v>28</v>
      </c>
      <c r="G2170" s="1">
        <v>470</v>
      </c>
      <c r="H2170" s="1">
        <v>350</v>
      </c>
      <c r="I2170" s="1">
        <v>315</v>
      </c>
      <c r="J2170" s="1">
        <v>900</v>
      </c>
    </row>
    <row r="2171" spans="1:10" x14ac:dyDescent="0.3">
      <c r="A2171" t="s">
        <v>19</v>
      </c>
      <c r="B2171" t="s">
        <v>0</v>
      </c>
      <c r="C2171" t="s">
        <v>193</v>
      </c>
      <c r="D2171" t="s">
        <v>37</v>
      </c>
      <c r="E2171">
        <v>86</v>
      </c>
      <c r="F2171">
        <v>28</v>
      </c>
      <c r="G2171" s="1">
        <v>7300</v>
      </c>
      <c r="H2171" s="1">
        <v>7300</v>
      </c>
      <c r="I2171" s="1">
        <v>11680</v>
      </c>
      <c r="J2171" s="1">
        <v>1600</v>
      </c>
    </row>
    <row r="2172" spans="1:10" x14ac:dyDescent="0.3">
      <c r="A2172" t="s">
        <v>19</v>
      </c>
      <c r="B2172" t="s">
        <v>18</v>
      </c>
      <c r="C2172" t="s">
        <v>193</v>
      </c>
      <c r="D2172" t="s">
        <v>44</v>
      </c>
      <c r="E2172">
        <v>86</v>
      </c>
      <c r="F2172">
        <v>35</v>
      </c>
      <c r="G2172" s="1">
        <v>2000</v>
      </c>
      <c r="H2172" s="1">
        <v>1300</v>
      </c>
      <c r="I2172" s="1">
        <v>2080</v>
      </c>
      <c r="J2172" s="1">
        <v>1600</v>
      </c>
    </row>
    <row r="2173" spans="1:10" x14ac:dyDescent="0.3">
      <c r="A2173" t="s">
        <v>19</v>
      </c>
      <c r="B2173" t="s">
        <v>17</v>
      </c>
      <c r="C2173" t="s">
        <v>193</v>
      </c>
      <c r="D2173" t="s">
        <v>44</v>
      </c>
      <c r="E2173">
        <v>86</v>
      </c>
      <c r="F2173">
        <v>35</v>
      </c>
      <c r="G2173" s="1">
        <v>500</v>
      </c>
      <c r="H2173" s="1">
        <v>500</v>
      </c>
      <c r="I2173" s="1">
        <v>750</v>
      </c>
      <c r="J2173" s="1">
        <v>1500</v>
      </c>
    </row>
    <row r="2174" spans="1:10" x14ac:dyDescent="0.3">
      <c r="A2174" t="s">
        <v>19</v>
      </c>
      <c r="B2174" t="s">
        <v>14</v>
      </c>
      <c r="C2174" t="s">
        <v>193</v>
      </c>
      <c r="D2174" t="s">
        <v>44</v>
      </c>
      <c r="E2174">
        <v>86</v>
      </c>
      <c r="F2174">
        <v>35</v>
      </c>
      <c r="G2174" s="1">
        <v>1000</v>
      </c>
      <c r="H2174" s="1">
        <v>650</v>
      </c>
      <c r="I2174" s="1">
        <v>1755</v>
      </c>
      <c r="J2174" s="1">
        <v>2700</v>
      </c>
    </row>
    <row r="2175" spans="1:10" x14ac:dyDescent="0.3">
      <c r="A2175" t="s">
        <v>19</v>
      </c>
      <c r="B2175" t="s">
        <v>12</v>
      </c>
      <c r="C2175" t="s">
        <v>193</v>
      </c>
      <c r="D2175" t="s">
        <v>44</v>
      </c>
      <c r="E2175">
        <v>86</v>
      </c>
      <c r="F2175">
        <v>35</v>
      </c>
      <c r="G2175" s="1">
        <v>2000</v>
      </c>
      <c r="H2175" s="1">
        <v>2000</v>
      </c>
      <c r="I2175" s="1">
        <v>5000</v>
      </c>
      <c r="J2175" s="1">
        <v>2500</v>
      </c>
    </row>
    <row r="2176" spans="1:10" x14ac:dyDescent="0.3">
      <c r="A2176" t="s">
        <v>19</v>
      </c>
      <c r="B2176" t="s">
        <v>9</v>
      </c>
      <c r="C2176" t="s">
        <v>193</v>
      </c>
      <c r="D2176" t="s">
        <v>44</v>
      </c>
      <c r="E2176">
        <v>86</v>
      </c>
      <c r="F2176">
        <v>35</v>
      </c>
      <c r="G2176" s="1">
        <v>2400</v>
      </c>
      <c r="H2176" s="1">
        <v>2400</v>
      </c>
      <c r="I2176" s="1">
        <v>4800</v>
      </c>
      <c r="J2176" s="1">
        <v>2000</v>
      </c>
    </row>
    <row r="2177" spans="1:10" x14ac:dyDescent="0.3">
      <c r="A2177" t="s">
        <v>19</v>
      </c>
      <c r="B2177" t="s">
        <v>8</v>
      </c>
      <c r="C2177" t="s">
        <v>193</v>
      </c>
      <c r="D2177" t="s">
        <v>44</v>
      </c>
      <c r="E2177">
        <v>86</v>
      </c>
      <c r="F2177">
        <v>35</v>
      </c>
      <c r="G2177" s="1">
        <v>1000</v>
      </c>
      <c r="H2177" s="1">
        <v>1000</v>
      </c>
      <c r="I2177" s="1">
        <v>2400</v>
      </c>
      <c r="J2177" s="1">
        <v>2400</v>
      </c>
    </row>
    <row r="2178" spans="1:10" x14ac:dyDescent="0.3">
      <c r="A2178" t="s">
        <v>19</v>
      </c>
      <c r="B2178" t="s">
        <v>7</v>
      </c>
      <c r="C2178" t="s">
        <v>193</v>
      </c>
      <c r="D2178" t="s">
        <v>44</v>
      </c>
      <c r="E2178">
        <v>86</v>
      </c>
      <c r="F2178">
        <v>35</v>
      </c>
      <c r="G2178" s="1">
        <v>1000</v>
      </c>
      <c r="H2178" s="1">
        <v>1000</v>
      </c>
      <c r="I2178" s="1">
        <v>2500</v>
      </c>
      <c r="J2178" s="1">
        <v>2500</v>
      </c>
    </row>
    <row r="2179" spans="1:10" x14ac:dyDescent="0.3">
      <c r="A2179" t="s">
        <v>19</v>
      </c>
      <c r="B2179" t="s">
        <v>6</v>
      </c>
      <c r="C2179" t="s">
        <v>193</v>
      </c>
      <c r="D2179" t="s">
        <v>44</v>
      </c>
      <c r="E2179">
        <v>86</v>
      </c>
      <c r="F2179">
        <v>35</v>
      </c>
      <c r="G2179" s="1">
        <v>1000</v>
      </c>
      <c r="H2179" s="1">
        <v>1000</v>
      </c>
      <c r="I2179" s="1">
        <v>2200</v>
      </c>
      <c r="J2179" s="1">
        <v>2200</v>
      </c>
    </row>
    <row r="2180" spans="1:10" x14ac:dyDescent="0.3">
      <c r="A2180" t="s">
        <v>19</v>
      </c>
      <c r="B2180" t="s">
        <v>5</v>
      </c>
      <c r="C2180" t="s">
        <v>193</v>
      </c>
      <c r="D2180" t="s">
        <v>44</v>
      </c>
      <c r="E2180">
        <v>86</v>
      </c>
      <c r="F2180">
        <v>35</v>
      </c>
      <c r="G2180" s="1">
        <v>1000</v>
      </c>
      <c r="H2180" s="1">
        <v>1000</v>
      </c>
      <c r="I2180" s="1">
        <v>2000</v>
      </c>
      <c r="J2180" s="1">
        <v>2000</v>
      </c>
    </row>
    <row r="2181" spans="1:10" x14ac:dyDescent="0.3">
      <c r="A2181" t="s">
        <v>19</v>
      </c>
      <c r="B2181" t="s">
        <v>4</v>
      </c>
      <c r="C2181" t="s">
        <v>193</v>
      </c>
      <c r="D2181" t="s">
        <v>44</v>
      </c>
      <c r="E2181">
        <v>86</v>
      </c>
      <c r="F2181">
        <v>35</v>
      </c>
      <c r="G2181" s="1">
        <v>4000</v>
      </c>
      <c r="H2181" s="1">
        <v>4000</v>
      </c>
      <c r="I2181" s="1">
        <v>8000</v>
      </c>
      <c r="J2181" s="1">
        <v>2000</v>
      </c>
    </row>
    <row r="2182" spans="1:10" x14ac:dyDescent="0.3">
      <c r="A2182" t="s">
        <v>19</v>
      </c>
      <c r="B2182" t="s">
        <v>3</v>
      </c>
      <c r="C2182" t="s">
        <v>193</v>
      </c>
      <c r="D2182" t="s">
        <v>44</v>
      </c>
      <c r="E2182">
        <v>86</v>
      </c>
      <c r="F2182">
        <v>35</v>
      </c>
      <c r="G2182" s="1">
        <v>4000</v>
      </c>
      <c r="H2182" s="1">
        <v>3980</v>
      </c>
      <c r="I2182" s="1">
        <v>4378</v>
      </c>
      <c r="J2182" s="1">
        <v>1100</v>
      </c>
    </row>
    <row r="2183" spans="1:10" x14ac:dyDescent="0.3">
      <c r="A2183" t="s">
        <v>19</v>
      </c>
      <c r="B2183" t="s">
        <v>0</v>
      </c>
      <c r="C2183" t="s">
        <v>193</v>
      </c>
      <c r="D2183" t="s">
        <v>44</v>
      </c>
      <c r="E2183">
        <v>86</v>
      </c>
      <c r="F2183">
        <v>35</v>
      </c>
      <c r="G2183" s="1">
        <v>4000</v>
      </c>
      <c r="H2183" s="1">
        <v>3900</v>
      </c>
      <c r="I2183" s="1">
        <v>3510</v>
      </c>
      <c r="J2183" s="1">
        <v>900</v>
      </c>
    </row>
    <row r="2184" spans="1:10" x14ac:dyDescent="0.3">
      <c r="A2184" t="s">
        <v>19</v>
      </c>
      <c r="B2184" t="s">
        <v>18</v>
      </c>
      <c r="C2184" t="s">
        <v>193</v>
      </c>
      <c r="D2184" t="s">
        <v>74</v>
      </c>
      <c r="E2184">
        <v>86</v>
      </c>
      <c r="F2184">
        <v>42</v>
      </c>
      <c r="G2184" s="1">
        <v>15000</v>
      </c>
      <c r="H2184" s="1">
        <v>8900</v>
      </c>
      <c r="I2184" s="1">
        <v>11570</v>
      </c>
      <c r="J2184" s="1">
        <v>1300</v>
      </c>
    </row>
    <row r="2185" spans="1:10" x14ac:dyDescent="0.3">
      <c r="A2185" t="s">
        <v>19</v>
      </c>
      <c r="B2185" t="s">
        <v>17</v>
      </c>
      <c r="C2185" t="s">
        <v>193</v>
      </c>
      <c r="D2185" t="s">
        <v>74</v>
      </c>
      <c r="E2185">
        <v>86</v>
      </c>
      <c r="F2185">
        <v>42</v>
      </c>
      <c r="G2185" s="1">
        <v>69680</v>
      </c>
      <c r="H2185" s="1">
        <v>61180</v>
      </c>
      <c r="I2185" s="1">
        <v>140710</v>
      </c>
      <c r="J2185" s="1">
        <v>2300</v>
      </c>
    </row>
    <row r="2186" spans="1:10" x14ac:dyDescent="0.3">
      <c r="A2186" t="s">
        <v>19</v>
      </c>
      <c r="B2186" t="s">
        <v>14</v>
      </c>
      <c r="C2186" t="s">
        <v>193</v>
      </c>
      <c r="D2186" t="s">
        <v>74</v>
      </c>
      <c r="E2186">
        <v>86</v>
      </c>
      <c r="F2186">
        <v>42</v>
      </c>
      <c r="G2186" s="1">
        <v>77400</v>
      </c>
      <c r="H2186" s="1">
        <v>51080</v>
      </c>
      <c r="I2186" s="1">
        <v>137916</v>
      </c>
      <c r="J2186" s="1">
        <v>2700</v>
      </c>
    </row>
    <row r="2187" spans="1:10" x14ac:dyDescent="0.3">
      <c r="A2187" t="s">
        <v>19</v>
      </c>
      <c r="B2187" t="s">
        <v>12</v>
      </c>
      <c r="C2187" t="s">
        <v>193</v>
      </c>
      <c r="D2187" t="s">
        <v>74</v>
      </c>
      <c r="E2187">
        <v>86</v>
      </c>
      <c r="F2187">
        <v>42</v>
      </c>
      <c r="G2187" s="1">
        <v>95950</v>
      </c>
      <c r="H2187" s="1">
        <v>95950</v>
      </c>
      <c r="I2187" s="1">
        <v>220685</v>
      </c>
      <c r="J2187" s="1">
        <v>2300</v>
      </c>
    </row>
    <row r="2188" spans="1:10" x14ac:dyDescent="0.3">
      <c r="A2188" t="s">
        <v>19</v>
      </c>
      <c r="B2188" t="s">
        <v>9</v>
      </c>
      <c r="C2188" t="s">
        <v>193</v>
      </c>
      <c r="D2188" t="s">
        <v>74</v>
      </c>
      <c r="E2188">
        <v>86</v>
      </c>
      <c r="F2188">
        <v>42</v>
      </c>
      <c r="G2188" s="1">
        <v>61600</v>
      </c>
      <c r="H2188" s="1">
        <v>61600</v>
      </c>
      <c r="I2188" s="1">
        <v>147840</v>
      </c>
      <c r="J2188" s="1">
        <v>2400</v>
      </c>
    </row>
    <row r="2189" spans="1:10" x14ac:dyDescent="0.3">
      <c r="A2189" t="s">
        <v>19</v>
      </c>
      <c r="B2189" t="s">
        <v>8</v>
      </c>
      <c r="C2189" t="s">
        <v>193</v>
      </c>
      <c r="D2189" t="s">
        <v>74</v>
      </c>
      <c r="E2189">
        <v>86</v>
      </c>
      <c r="F2189">
        <v>42</v>
      </c>
      <c r="G2189" s="1">
        <v>75500</v>
      </c>
      <c r="H2189" s="1">
        <v>75500</v>
      </c>
      <c r="I2189" s="1">
        <v>211400</v>
      </c>
      <c r="J2189" s="1">
        <v>2800</v>
      </c>
    </row>
    <row r="2190" spans="1:10" x14ac:dyDescent="0.3">
      <c r="A2190" t="s">
        <v>19</v>
      </c>
      <c r="B2190" t="s">
        <v>7</v>
      </c>
      <c r="C2190" t="s">
        <v>193</v>
      </c>
      <c r="D2190" t="s">
        <v>74</v>
      </c>
      <c r="E2190">
        <v>86</v>
      </c>
      <c r="F2190">
        <v>42</v>
      </c>
      <c r="G2190" s="1">
        <v>76800</v>
      </c>
      <c r="H2190" s="1">
        <v>68500</v>
      </c>
      <c r="I2190" s="1">
        <v>109600</v>
      </c>
      <c r="J2190" s="1">
        <v>1600</v>
      </c>
    </row>
    <row r="2191" spans="1:10" x14ac:dyDescent="0.3">
      <c r="A2191" t="s">
        <v>19</v>
      </c>
      <c r="B2191" t="s">
        <v>6</v>
      </c>
      <c r="C2191" t="s">
        <v>193</v>
      </c>
      <c r="D2191" t="s">
        <v>74</v>
      </c>
      <c r="E2191">
        <v>86</v>
      </c>
      <c r="F2191">
        <v>42</v>
      </c>
      <c r="G2191" s="1">
        <v>92900</v>
      </c>
      <c r="H2191" s="1">
        <v>90550</v>
      </c>
      <c r="I2191" s="1">
        <v>144860</v>
      </c>
      <c r="J2191" s="1">
        <v>1600</v>
      </c>
    </row>
    <row r="2192" spans="1:10" x14ac:dyDescent="0.3">
      <c r="A2192" t="s">
        <v>19</v>
      </c>
      <c r="B2192" t="s">
        <v>5</v>
      </c>
      <c r="C2192" t="s">
        <v>193</v>
      </c>
      <c r="D2192" t="s">
        <v>74</v>
      </c>
      <c r="E2192">
        <v>86</v>
      </c>
      <c r="F2192">
        <v>42</v>
      </c>
      <c r="G2192" s="1">
        <v>41200</v>
      </c>
      <c r="H2192" s="1">
        <v>22200</v>
      </c>
      <c r="I2192" s="1">
        <v>26640</v>
      </c>
      <c r="J2192" s="1">
        <v>1200</v>
      </c>
    </row>
    <row r="2193" spans="1:10" x14ac:dyDescent="0.3">
      <c r="A2193" t="s">
        <v>19</v>
      </c>
      <c r="B2193" t="s">
        <v>4</v>
      </c>
      <c r="C2193" t="s">
        <v>193</v>
      </c>
      <c r="D2193" t="s">
        <v>74</v>
      </c>
      <c r="E2193">
        <v>86</v>
      </c>
      <c r="F2193">
        <v>42</v>
      </c>
      <c r="G2193" s="1">
        <v>48700</v>
      </c>
      <c r="H2193" s="1">
        <v>46750</v>
      </c>
      <c r="I2193" s="1">
        <v>56100</v>
      </c>
      <c r="J2193" s="1">
        <v>1200</v>
      </c>
    </row>
    <row r="2194" spans="1:10" x14ac:dyDescent="0.3">
      <c r="A2194" t="s">
        <v>19</v>
      </c>
      <c r="B2194" t="s">
        <v>3</v>
      </c>
      <c r="C2194" t="s">
        <v>193</v>
      </c>
      <c r="D2194" t="s">
        <v>74</v>
      </c>
      <c r="E2194">
        <v>86</v>
      </c>
      <c r="F2194">
        <v>42</v>
      </c>
      <c r="G2194" s="1">
        <v>68260</v>
      </c>
      <c r="H2194" s="1">
        <v>58830</v>
      </c>
      <c r="I2194" s="1">
        <v>70596</v>
      </c>
      <c r="J2194" s="1">
        <v>1200</v>
      </c>
    </row>
    <row r="2195" spans="1:10" x14ac:dyDescent="0.3">
      <c r="A2195" t="s">
        <v>19</v>
      </c>
      <c r="B2195" t="s">
        <v>0</v>
      </c>
      <c r="C2195" t="s">
        <v>193</v>
      </c>
      <c r="D2195" t="s">
        <v>74</v>
      </c>
      <c r="E2195">
        <v>86</v>
      </c>
      <c r="F2195">
        <v>42</v>
      </c>
      <c r="G2195" s="1">
        <v>31000</v>
      </c>
      <c r="H2195" s="1">
        <v>31000</v>
      </c>
      <c r="I2195" s="1">
        <v>86800</v>
      </c>
      <c r="J2195" s="1">
        <v>2800</v>
      </c>
    </row>
    <row r="2196" spans="1:10" x14ac:dyDescent="0.3">
      <c r="A2196" t="s">
        <v>19</v>
      </c>
      <c r="B2196" t="s">
        <v>18</v>
      </c>
      <c r="C2196" t="s">
        <v>193</v>
      </c>
      <c r="D2196" t="s">
        <v>41</v>
      </c>
      <c r="E2196">
        <v>86</v>
      </c>
      <c r="F2196">
        <v>49</v>
      </c>
      <c r="G2196" s="1">
        <v>2000</v>
      </c>
      <c r="H2196" s="1">
        <v>1300</v>
      </c>
      <c r="I2196" s="1">
        <v>3510</v>
      </c>
      <c r="J2196" s="1">
        <v>2700</v>
      </c>
    </row>
    <row r="2197" spans="1:10" x14ac:dyDescent="0.3">
      <c r="A2197" t="s">
        <v>19</v>
      </c>
      <c r="B2197" t="s">
        <v>17</v>
      </c>
      <c r="C2197" t="s">
        <v>193</v>
      </c>
      <c r="D2197" t="s">
        <v>41</v>
      </c>
      <c r="E2197">
        <v>86</v>
      </c>
      <c r="F2197">
        <v>49</v>
      </c>
      <c r="G2197" s="1">
        <v>500</v>
      </c>
      <c r="H2197" s="1">
        <v>500</v>
      </c>
      <c r="I2197" s="1">
        <v>1100</v>
      </c>
      <c r="J2197" s="1">
        <v>2200</v>
      </c>
    </row>
    <row r="2198" spans="1:10" x14ac:dyDescent="0.3">
      <c r="A2198" t="s">
        <v>19</v>
      </c>
      <c r="B2198" t="s">
        <v>14</v>
      </c>
      <c r="C2198" t="s">
        <v>193</v>
      </c>
      <c r="D2198" t="s">
        <v>41</v>
      </c>
      <c r="E2198">
        <v>86</v>
      </c>
      <c r="F2198">
        <v>49</v>
      </c>
      <c r="G2198" s="1">
        <v>1000</v>
      </c>
      <c r="H2198" s="1">
        <v>650</v>
      </c>
      <c r="I2198" s="1">
        <v>1560</v>
      </c>
      <c r="J2198" s="1">
        <v>2400</v>
      </c>
    </row>
    <row r="2199" spans="1:10" x14ac:dyDescent="0.3">
      <c r="A2199" t="s">
        <v>19</v>
      </c>
      <c r="B2199" t="s">
        <v>12</v>
      </c>
      <c r="C2199" t="s">
        <v>193</v>
      </c>
      <c r="D2199" t="s">
        <v>41</v>
      </c>
      <c r="E2199">
        <v>86</v>
      </c>
      <c r="F2199">
        <v>49</v>
      </c>
      <c r="G2199" s="1">
        <v>1500</v>
      </c>
      <c r="H2199" s="1">
        <v>1500</v>
      </c>
      <c r="I2199" s="1">
        <v>3750</v>
      </c>
      <c r="J2199" s="1">
        <v>2500</v>
      </c>
    </row>
    <row r="2200" spans="1:10" x14ac:dyDescent="0.3">
      <c r="A2200" t="s">
        <v>19</v>
      </c>
      <c r="B2200" t="s">
        <v>9</v>
      </c>
      <c r="C2200" t="s">
        <v>193</v>
      </c>
      <c r="D2200" t="s">
        <v>41</v>
      </c>
      <c r="E2200">
        <v>86</v>
      </c>
      <c r="F2200">
        <v>49</v>
      </c>
      <c r="G2200" s="1">
        <v>2000</v>
      </c>
      <c r="H2200" s="1">
        <v>2000</v>
      </c>
      <c r="I2200" s="1">
        <v>4000</v>
      </c>
      <c r="J2200" s="1">
        <v>2000</v>
      </c>
    </row>
    <row r="2201" spans="1:10" x14ac:dyDescent="0.3">
      <c r="A2201" t="s">
        <v>19</v>
      </c>
      <c r="B2201" t="s">
        <v>8</v>
      </c>
      <c r="C2201" t="s">
        <v>193</v>
      </c>
      <c r="D2201" t="s">
        <v>41</v>
      </c>
      <c r="E2201">
        <v>86</v>
      </c>
      <c r="F2201">
        <v>49</v>
      </c>
      <c r="G2201" s="1">
        <v>1000</v>
      </c>
      <c r="H2201" s="1">
        <v>1000</v>
      </c>
      <c r="I2201" s="1">
        <v>2400</v>
      </c>
      <c r="J2201" s="1">
        <v>2400</v>
      </c>
    </row>
    <row r="2202" spans="1:10" x14ac:dyDescent="0.3">
      <c r="A2202" t="s">
        <v>19</v>
      </c>
      <c r="B2202" t="s">
        <v>7</v>
      </c>
      <c r="C2202" t="s">
        <v>193</v>
      </c>
      <c r="D2202" t="s">
        <v>41</v>
      </c>
      <c r="E2202">
        <v>86</v>
      </c>
      <c r="F2202">
        <v>49</v>
      </c>
      <c r="G2202" s="1">
        <v>7500</v>
      </c>
      <c r="H2202" s="1">
        <v>7500</v>
      </c>
      <c r="I2202" s="1">
        <v>18750</v>
      </c>
      <c r="J2202" s="1">
        <v>2500</v>
      </c>
    </row>
    <row r="2203" spans="1:10" x14ac:dyDescent="0.3">
      <c r="A2203" t="s">
        <v>19</v>
      </c>
      <c r="B2203" t="s">
        <v>6</v>
      </c>
      <c r="C2203" t="s">
        <v>193</v>
      </c>
      <c r="D2203" t="s">
        <v>41</v>
      </c>
      <c r="E2203">
        <v>86</v>
      </c>
      <c r="F2203">
        <v>49</v>
      </c>
      <c r="G2203" s="1">
        <v>7500</v>
      </c>
      <c r="H2203" s="1">
        <v>7500</v>
      </c>
      <c r="I2203" s="1">
        <v>15000</v>
      </c>
      <c r="J2203" s="1">
        <v>2000</v>
      </c>
    </row>
    <row r="2204" spans="1:10" x14ac:dyDescent="0.3">
      <c r="A2204" t="s">
        <v>19</v>
      </c>
      <c r="B2204" t="s">
        <v>5</v>
      </c>
      <c r="C2204" t="s">
        <v>193</v>
      </c>
      <c r="D2204" t="s">
        <v>41</v>
      </c>
      <c r="E2204">
        <v>86</v>
      </c>
      <c r="F2204">
        <v>49</v>
      </c>
      <c r="G2204" s="1">
        <v>5000</v>
      </c>
      <c r="H2204" s="1">
        <v>5000</v>
      </c>
      <c r="I2204" s="1">
        <v>10000</v>
      </c>
      <c r="J2204" s="1">
        <v>2000</v>
      </c>
    </row>
    <row r="2205" spans="1:10" x14ac:dyDescent="0.3">
      <c r="A2205" t="s">
        <v>19</v>
      </c>
      <c r="B2205" t="s">
        <v>4</v>
      </c>
      <c r="C2205" t="s">
        <v>193</v>
      </c>
      <c r="D2205" t="s">
        <v>41</v>
      </c>
      <c r="E2205">
        <v>86</v>
      </c>
      <c r="F2205">
        <v>49</v>
      </c>
      <c r="G2205" s="1">
        <v>5000</v>
      </c>
      <c r="H2205" s="1">
        <v>5000</v>
      </c>
      <c r="I2205" s="1">
        <v>10000</v>
      </c>
      <c r="J2205" s="1">
        <v>2000</v>
      </c>
    </row>
    <row r="2206" spans="1:10" x14ac:dyDescent="0.3">
      <c r="A2206" t="s">
        <v>19</v>
      </c>
      <c r="B2206" t="s">
        <v>3</v>
      </c>
      <c r="C2206" t="s">
        <v>193</v>
      </c>
      <c r="D2206" t="s">
        <v>41</v>
      </c>
      <c r="E2206">
        <v>86</v>
      </c>
      <c r="F2206">
        <v>49</v>
      </c>
      <c r="G2206" s="1">
        <v>5000</v>
      </c>
      <c r="H2206" s="1">
        <v>4970</v>
      </c>
      <c r="I2206" s="1">
        <v>5467</v>
      </c>
      <c r="J2206" s="1">
        <v>1100</v>
      </c>
    </row>
    <row r="2207" spans="1:10" x14ac:dyDescent="0.3">
      <c r="A2207" t="s">
        <v>19</v>
      </c>
      <c r="B2207" t="s">
        <v>0</v>
      </c>
      <c r="C2207" t="s">
        <v>193</v>
      </c>
      <c r="D2207" t="s">
        <v>41</v>
      </c>
      <c r="E2207">
        <v>86</v>
      </c>
      <c r="F2207">
        <v>49</v>
      </c>
      <c r="G2207" s="1">
        <v>5000</v>
      </c>
      <c r="H2207" s="1">
        <v>4800</v>
      </c>
      <c r="I2207" s="1">
        <v>4320</v>
      </c>
      <c r="J2207" s="1">
        <v>900</v>
      </c>
    </row>
    <row r="2208" spans="1:10" x14ac:dyDescent="0.3">
      <c r="A2208" t="s">
        <v>19</v>
      </c>
      <c r="B2208" t="s">
        <v>7</v>
      </c>
      <c r="C2208" t="s">
        <v>193</v>
      </c>
      <c r="D2208" t="s">
        <v>48</v>
      </c>
      <c r="E2208">
        <v>86</v>
      </c>
      <c r="F2208">
        <v>63</v>
      </c>
      <c r="G2208" s="1">
        <v>1000</v>
      </c>
      <c r="H2208" s="1">
        <v>0</v>
      </c>
      <c r="I2208" s="1">
        <v>0</v>
      </c>
      <c r="J2208" s="1">
        <v>0</v>
      </c>
    </row>
    <row r="2209" spans="1:10" x14ac:dyDescent="0.3">
      <c r="A2209" t="s">
        <v>19</v>
      </c>
      <c r="B2209" t="s">
        <v>6</v>
      </c>
      <c r="C2209" t="s">
        <v>193</v>
      </c>
      <c r="D2209" t="s">
        <v>48</v>
      </c>
      <c r="E2209">
        <v>86</v>
      </c>
      <c r="F2209">
        <v>63</v>
      </c>
      <c r="G2209" s="1">
        <v>1000</v>
      </c>
      <c r="H2209" s="1">
        <v>1000</v>
      </c>
      <c r="I2209" s="1">
        <v>1500</v>
      </c>
      <c r="J2209" s="1">
        <v>1500</v>
      </c>
    </row>
    <row r="2210" spans="1:10" x14ac:dyDescent="0.3">
      <c r="A2210" t="s">
        <v>19</v>
      </c>
      <c r="B2210" t="s">
        <v>5</v>
      </c>
      <c r="C2210" t="s">
        <v>193</v>
      </c>
      <c r="D2210" t="s">
        <v>48</v>
      </c>
      <c r="E2210">
        <v>86</v>
      </c>
      <c r="F2210">
        <v>63</v>
      </c>
      <c r="G2210" s="1">
        <v>1000</v>
      </c>
      <c r="H2210" s="1">
        <v>1000</v>
      </c>
      <c r="I2210" s="1">
        <v>1000</v>
      </c>
      <c r="J2210" s="1">
        <v>1000</v>
      </c>
    </row>
    <row r="2211" spans="1:10" x14ac:dyDescent="0.3">
      <c r="A2211" t="s">
        <v>19</v>
      </c>
      <c r="B2211" t="s">
        <v>4</v>
      </c>
      <c r="C2211" t="s">
        <v>193</v>
      </c>
      <c r="D2211" t="s">
        <v>48</v>
      </c>
      <c r="E2211">
        <v>86</v>
      </c>
      <c r="F2211">
        <v>63</v>
      </c>
      <c r="G2211" s="1">
        <v>2000</v>
      </c>
      <c r="H2211" s="1">
        <v>2000</v>
      </c>
      <c r="I2211" s="1">
        <v>2800</v>
      </c>
      <c r="J2211" s="1">
        <v>1400</v>
      </c>
    </row>
    <row r="2212" spans="1:10" x14ac:dyDescent="0.3">
      <c r="A2212" t="s">
        <v>19</v>
      </c>
      <c r="B2212" t="s">
        <v>3</v>
      </c>
      <c r="C2212" t="s">
        <v>193</v>
      </c>
      <c r="D2212" t="s">
        <v>48</v>
      </c>
      <c r="E2212">
        <v>86</v>
      </c>
      <c r="F2212">
        <v>63</v>
      </c>
      <c r="G2212" s="1">
        <v>2000</v>
      </c>
      <c r="H2212" s="1">
        <v>1970</v>
      </c>
      <c r="I2212" s="1">
        <v>2167</v>
      </c>
      <c r="J2212" s="1">
        <v>1100</v>
      </c>
    </row>
    <row r="2213" spans="1:10" x14ac:dyDescent="0.3">
      <c r="A2213" t="s">
        <v>19</v>
      </c>
      <c r="B2213" t="s">
        <v>0</v>
      </c>
      <c r="C2213" t="s">
        <v>193</v>
      </c>
      <c r="D2213" t="s">
        <v>48</v>
      </c>
      <c r="E2213">
        <v>86</v>
      </c>
      <c r="F2213">
        <v>63</v>
      </c>
      <c r="G2213" s="1">
        <v>2000</v>
      </c>
      <c r="H2213" s="1">
        <v>1850</v>
      </c>
      <c r="I2213" s="1">
        <v>1850</v>
      </c>
      <c r="J2213" s="1">
        <v>1000</v>
      </c>
    </row>
    <row r="2214" spans="1:10" x14ac:dyDescent="0.3">
      <c r="A2214" t="s">
        <v>19</v>
      </c>
      <c r="B2214" t="s">
        <v>8</v>
      </c>
      <c r="C2214" t="s">
        <v>193</v>
      </c>
      <c r="D2214" t="s">
        <v>51</v>
      </c>
      <c r="E2214">
        <v>86</v>
      </c>
      <c r="F2214">
        <v>56</v>
      </c>
      <c r="G2214" s="1">
        <v>1900</v>
      </c>
      <c r="H2214" s="1">
        <v>1900</v>
      </c>
      <c r="I2214" s="1">
        <v>4370</v>
      </c>
      <c r="J2214" s="1">
        <v>2300</v>
      </c>
    </row>
    <row r="2215" spans="1:10" x14ac:dyDescent="0.3">
      <c r="A2215" t="s">
        <v>19</v>
      </c>
      <c r="B2215" t="s">
        <v>7</v>
      </c>
      <c r="C2215" t="s">
        <v>193</v>
      </c>
      <c r="D2215" t="s">
        <v>51</v>
      </c>
      <c r="E2215">
        <v>86</v>
      </c>
      <c r="F2215">
        <v>56</v>
      </c>
      <c r="G2215" s="1">
        <v>700</v>
      </c>
      <c r="H2215" s="1">
        <v>200</v>
      </c>
      <c r="I2215" s="1">
        <v>140</v>
      </c>
      <c r="J2215" s="1">
        <v>700</v>
      </c>
    </row>
    <row r="2216" spans="1:10" x14ac:dyDescent="0.3">
      <c r="A2216" t="s">
        <v>19</v>
      </c>
      <c r="B2216" t="s">
        <v>6</v>
      </c>
      <c r="C2216" t="s">
        <v>193</v>
      </c>
      <c r="D2216" t="s">
        <v>51</v>
      </c>
      <c r="E2216">
        <v>86</v>
      </c>
      <c r="F2216">
        <v>56</v>
      </c>
      <c r="G2216" s="1">
        <v>1430</v>
      </c>
      <c r="H2216" s="1">
        <v>1080</v>
      </c>
      <c r="I2216" s="1">
        <v>1188</v>
      </c>
      <c r="J2216" s="1">
        <v>1100</v>
      </c>
    </row>
    <row r="2217" spans="1:10" x14ac:dyDescent="0.3">
      <c r="A2217" t="s">
        <v>19</v>
      </c>
      <c r="B2217" t="s">
        <v>5</v>
      </c>
      <c r="C2217" t="s">
        <v>193</v>
      </c>
      <c r="D2217" t="s">
        <v>51</v>
      </c>
      <c r="E2217">
        <v>86</v>
      </c>
      <c r="F2217">
        <v>56</v>
      </c>
      <c r="G2217" s="1">
        <v>510</v>
      </c>
      <c r="H2217" s="1">
        <v>230</v>
      </c>
      <c r="I2217" s="1">
        <v>207</v>
      </c>
      <c r="J2217" s="1">
        <v>900</v>
      </c>
    </row>
    <row r="2218" spans="1:10" x14ac:dyDescent="0.3">
      <c r="A2218" t="s">
        <v>19</v>
      </c>
      <c r="B2218" t="s">
        <v>4</v>
      </c>
      <c r="C2218" t="s">
        <v>193</v>
      </c>
      <c r="D2218" t="s">
        <v>51</v>
      </c>
      <c r="E2218">
        <v>86</v>
      </c>
      <c r="F2218">
        <v>56</v>
      </c>
      <c r="G2218" s="1">
        <v>1380</v>
      </c>
      <c r="H2218" s="1">
        <v>1380</v>
      </c>
      <c r="I2218" s="1">
        <v>1656</v>
      </c>
      <c r="J2218" s="1">
        <v>1200</v>
      </c>
    </row>
    <row r="2219" spans="1:10" x14ac:dyDescent="0.3">
      <c r="A2219" t="s">
        <v>19</v>
      </c>
      <c r="B2219" t="s">
        <v>3</v>
      </c>
      <c r="C2219" t="s">
        <v>193</v>
      </c>
      <c r="D2219" t="s">
        <v>51</v>
      </c>
      <c r="E2219">
        <v>86</v>
      </c>
      <c r="F2219">
        <v>56</v>
      </c>
      <c r="G2219" s="1">
        <v>1850</v>
      </c>
      <c r="H2219" s="1">
        <v>1460</v>
      </c>
      <c r="I2219" s="1">
        <v>1314</v>
      </c>
      <c r="J2219" s="1">
        <v>900</v>
      </c>
    </row>
    <row r="2220" spans="1:10" x14ac:dyDescent="0.3">
      <c r="A2220" t="s">
        <v>19</v>
      </c>
      <c r="B2220" t="s">
        <v>0</v>
      </c>
      <c r="C2220" t="s">
        <v>193</v>
      </c>
      <c r="D2220" t="s">
        <v>51</v>
      </c>
      <c r="E2220">
        <v>86</v>
      </c>
      <c r="F2220">
        <v>56</v>
      </c>
      <c r="G2220" s="1">
        <v>17000</v>
      </c>
      <c r="H2220" s="1">
        <v>16930</v>
      </c>
      <c r="I2220" s="1">
        <v>30474</v>
      </c>
      <c r="J2220" s="1">
        <v>1800</v>
      </c>
    </row>
    <row r="2221" spans="1:10" x14ac:dyDescent="0.3">
      <c r="A2221" t="s">
        <v>19</v>
      </c>
      <c r="B2221" t="s">
        <v>18</v>
      </c>
      <c r="C2221" t="s">
        <v>193</v>
      </c>
      <c r="D2221" t="s">
        <v>38</v>
      </c>
      <c r="E2221">
        <v>86</v>
      </c>
      <c r="F2221">
        <v>70</v>
      </c>
      <c r="G2221" s="1">
        <v>500</v>
      </c>
      <c r="H2221" s="1">
        <v>350</v>
      </c>
      <c r="I2221" s="1">
        <v>350</v>
      </c>
      <c r="J2221" s="1">
        <v>1000</v>
      </c>
    </row>
    <row r="2222" spans="1:10" x14ac:dyDescent="0.3">
      <c r="A2222" t="s">
        <v>19</v>
      </c>
      <c r="B2222" t="s">
        <v>8</v>
      </c>
      <c r="C2222" t="s">
        <v>193</v>
      </c>
      <c r="D2222" t="s">
        <v>38</v>
      </c>
      <c r="E2222">
        <v>86</v>
      </c>
      <c r="F2222">
        <v>70</v>
      </c>
      <c r="G2222" s="1">
        <v>1000</v>
      </c>
      <c r="H2222" s="1">
        <v>1000</v>
      </c>
      <c r="I2222" s="1">
        <v>2000</v>
      </c>
      <c r="J2222" s="1">
        <v>2000</v>
      </c>
    </row>
    <row r="2223" spans="1:10" x14ac:dyDescent="0.3">
      <c r="A2223" t="s">
        <v>19</v>
      </c>
      <c r="B2223" t="s">
        <v>7</v>
      </c>
      <c r="C2223" t="s">
        <v>193</v>
      </c>
      <c r="D2223" t="s">
        <v>38</v>
      </c>
      <c r="E2223">
        <v>86</v>
      </c>
      <c r="F2223">
        <v>70</v>
      </c>
      <c r="G2223" s="1">
        <v>3500</v>
      </c>
      <c r="H2223" s="1">
        <v>3500</v>
      </c>
      <c r="I2223" s="1">
        <v>7000</v>
      </c>
      <c r="J2223" s="1">
        <v>2000</v>
      </c>
    </row>
    <row r="2224" spans="1:10" x14ac:dyDescent="0.3">
      <c r="A2224" t="s">
        <v>19</v>
      </c>
      <c r="B2224" t="s">
        <v>6</v>
      </c>
      <c r="C2224" t="s">
        <v>193</v>
      </c>
      <c r="D2224" t="s">
        <v>38</v>
      </c>
      <c r="E2224">
        <v>86</v>
      </c>
      <c r="F2224">
        <v>70</v>
      </c>
      <c r="G2224" s="1">
        <v>10000</v>
      </c>
      <c r="H2224" s="1">
        <v>10000</v>
      </c>
      <c r="I2224" s="1">
        <v>20000</v>
      </c>
      <c r="J2224" s="1">
        <v>2000</v>
      </c>
    </row>
    <row r="2225" spans="1:10" x14ac:dyDescent="0.3">
      <c r="A2225" t="s">
        <v>19</v>
      </c>
      <c r="B2225" t="s">
        <v>5</v>
      </c>
      <c r="C2225" t="s">
        <v>193</v>
      </c>
      <c r="D2225" t="s">
        <v>38</v>
      </c>
      <c r="E2225">
        <v>86</v>
      </c>
      <c r="F2225">
        <v>70</v>
      </c>
      <c r="G2225" s="1">
        <v>3500</v>
      </c>
      <c r="H2225" s="1">
        <v>3500</v>
      </c>
      <c r="I2225" s="1">
        <v>7000</v>
      </c>
      <c r="J2225" s="1">
        <v>2000</v>
      </c>
    </row>
    <row r="2226" spans="1:10" x14ac:dyDescent="0.3">
      <c r="A2226" t="s">
        <v>19</v>
      </c>
      <c r="B2226" t="s">
        <v>4</v>
      </c>
      <c r="C2226" t="s">
        <v>193</v>
      </c>
      <c r="D2226" t="s">
        <v>38</v>
      </c>
      <c r="E2226">
        <v>86</v>
      </c>
      <c r="F2226">
        <v>70</v>
      </c>
      <c r="G2226" s="1">
        <v>3500</v>
      </c>
      <c r="H2226" s="1">
        <v>3500</v>
      </c>
      <c r="I2226" s="1">
        <v>7000</v>
      </c>
      <c r="J2226" s="1">
        <v>2000</v>
      </c>
    </row>
    <row r="2227" spans="1:10" x14ac:dyDescent="0.3">
      <c r="A2227" t="s">
        <v>19</v>
      </c>
      <c r="B2227" t="s">
        <v>3</v>
      </c>
      <c r="C2227" t="s">
        <v>193</v>
      </c>
      <c r="D2227" t="s">
        <v>38</v>
      </c>
      <c r="E2227">
        <v>86</v>
      </c>
      <c r="F2227">
        <v>70</v>
      </c>
      <c r="G2227" s="1">
        <v>3500</v>
      </c>
      <c r="H2227" s="1">
        <v>3470</v>
      </c>
      <c r="I2227" s="1">
        <v>3817</v>
      </c>
      <c r="J2227" s="1">
        <v>1100</v>
      </c>
    </row>
    <row r="2228" spans="1:10" x14ac:dyDescent="0.3">
      <c r="A2228" t="s">
        <v>19</v>
      </c>
      <c r="B2228" t="s">
        <v>0</v>
      </c>
      <c r="C2228" t="s">
        <v>193</v>
      </c>
      <c r="D2228" t="s">
        <v>38</v>
      </c>
      <c r="E2228">
        <v>86</v>
      </c>
      <c r="F2228">
        <v>70</v>
      </c>
      <c r="G2228" s="1">
        <v>3500</v>
      </c>
      <c r="H2228" s="1">
        <v>3100</v>
      </c>
      <c r="I2228" s="1">
        <v>2790</v>
      </c>
      <c r="J2228" s="1">
        <v>900</v>
      </c>
    </row>
    <row r="2229" spans="1:10" x14ac:dyDescent="0.3">
      <c r="A2229" t="s">
        <v>19</v>
      </c>
      <c r="B2229" t="s">
        <v>18</v>
      </c>
      <c r="C2229" t="s">
        <v>193</v>
      </c>
      <c r="D2229" t="s">
        <v>75</v>
      </c>
      <c r="E2229">
        <v>86</v>
      </c>
      <c r="F2229">
        <v>77</v>
      </c>
      <c r="G2229" s="1">
        <v>18000</v>
      </c>
      <c r="H2229" s="1">
        <v>10700</v>
      </c>
      <c r="I2229" s="1">
        <v>12840</v>
      </c>
      <c r="J2229" s="1">
        <v>1200</v>
      </c>
    </row>
    <row r="2230" spans="1:10" x14ac:dyDescent="0.3">
      <c r="A2230" t="s">
        <v>19</v>
      </c>
      <c r="B2230" t="s">
        <v>17</v>
      </c>
      <c r="C2230" t="s">
        <v>193</v>
      </c>
      <c r="D2230" t="s">
        <v>75</v>
      </c>
      <c r="E2230">
        <v>86</v>
      </c>
      <c r="F2230">
        <v>77</v>
      </c>
      <c r="G2230" s="1">
        <v>88370</v>
      </c>
      <c r="H2230" s="1">
        <v>79370</v>
      </c>
      <c r="I2230" s="1">
        <v>166680</v>
      </c>
      <c r="J2230" s="1">
        <v>2100</v>
      </c>
    </row>
    <row r="2231" spans="1:10" x14ac:dyDescent="0.3">
      <c r="A2231" t="s">
        <v>19</v>
      </c>
      <c r="B2231" t="s">
        <v>14</v>
      </c>
      <c r="C2231" t="s">
        <v>193</v>
      </c>
      <c r="D2231" t="s">
        <v>75</v>
      </c>
      <c r="E2231">
        <v>86</v>
      </c>
      <c r="F2231">
        <v>77</v>
      </c>
      <c r="G2231" s="1">
        <v>85000</v>
      </c>
      <c r="H2231" s="1">
        <v>56090</v>
      </c>
      <c r="I2231" s="1">
        <v>151443</v>
      </c>
      <c r="J2231" s="1">
        <v>2700</v>
      </c>
    </row>
    <row r="2232" spans="1:10" x14ac:dyDescent="0.3">
      <c r="A2232" t="s">
        <v>19</v>
      </c>
      <c r="B2232" t="s">
        <v>12</v>
      </c>
      <c r="C2232" t="s">
        <v>193</v>
      </c>
      <c r="D2232" t="s">
        <v>75</v>
      </c>
      <c r="E2232">
        <v>86</v>
      </c>
      <c r="F2232">
        <v>77</v>
      </c>
      <c r="G2232" s="1">
        <v>164500</v>
      </c>
      <c r="H2232" s="1">
        <v>164500</v>
      </c>
      <c r="I2232" s="1">
        <v>411250</v>
      </c>
      <c r="J2232" s="1">
        <v>2500</v>
      </c>
    </row>
    <row r="2233" spans="1:10" x14ac:dyDescent="0.3">
      <c r="A2233" t="s">
        <v>19</v>
      </c>
      <c r="B2233" t="s">
        <v>9</v>
      </c>
      <c r="C2233" t="s">
        <v>193</v>
      </c>
      <c r="D2233" t="s">
        <v>75</v>
      </c>
      <c r="E2233">
        <v>86</v>
      </c>
      <c r="F2233">
        <v>77</v>
      </c>
      <c r="G2233" s="1">
        <v>85910</v>
      </c>
      <c r="H2233" s="1">
        <v>85910</v>
      </c>
      <c r="I2233" s="1">
        <v>197593</v>
      </c>
      <c r="J2233" s="1">
        <v>2300</v>
      </c>
    </row>
    <row r="2234" spans="1:10" x14ac:dyDescent="0.3">
      <c r="A2234" t="s">
        <v>19</v>
      </c>
      <c r="B2234" t="s">
        <v>8</v>
      </c>
      <c r="C2234" t="s">
        <v>193</v>
      </c>
      <c r="D2234" t="s">
        <v>75</v>
      </c>
      <c r="E2234">
        <v>86</v>
      </c>
      <c r="F2234">
        <v>77</v>
      </c>
      <c r="G2234" s="1">
        <v>117000</v>
      </c>
      <c r="H2234" s="1">
        <v>117000</v>
      </c>
      <c r="I2234" s="1">
        <v>362700</v>
      </c>
      <c r="J2234" s="1">
        <v>3100</v>
      </c>
    </row>
    <row r="2235" spans="1:10" x14ac:dyDescent="0.3">
      <c r="A2235" t="s">
        <v>19</v>
      </c>
      <c r="B2235" t="s">
        <v>7</v>
      </c>
      <c r="C2235" t="s">
        <v>193</v>
      </c>
      <c r="D2235" t="s">
        <v>75</v>
      </c>
      <c r="E2235">
        <v>86</v>
      </c>
      <c r="F2235">
        <v>77</v>
      </c>
      <c r="G2235" s="1">
        <v>125700</v>
      </c>
      <c r="H2235" s="1">
        <v>117200</v>
      </c>
      <c r="I2235" s="1">
        <v>175800</v>
      </c>
      <c r="J2235" s="1">
        <v>1500</v>
      </c>
    </row>
    <row r="2236" spans="1:10" x14ac:dyDescent="0.3">
      <c r="A2236" t="s">
        <v>19</v>
      </c>
      <c r="B2236" t="s">
        <v>6</v>
      </c>
      <c r="C2236" t="s">
        <v>193</v>
      </c>
      <c r="D2236" t="s">
        <v>75</v>
      </c>
      <c r="E2236">
        <v>86</v>
      </c>
      <c r="F2236">
        <v>77</v>
      </c>
      <c r="G2236" s="1">
        <v>149600</v>
      </c>
      <c r="H2236" s="1">
        <v>141620</v>
      </c>
      <c r="I2236" s="1">
        <v>212410</v>
      </c>
      <c r="J2236" s="1">
        <v>1500</v>
      </c>
    </row>
    <row r="2237" spans="1:10" x14ac:dyDescent="0.3">
      <c r="A2237" t="s">
        <v>19</v>
      </c>
      <c r="B2237" t="s">
        <v>5</v>
      </c>
      <c r="C2237" t="s">
        <v>193</v>
      </c>
      <c r="D2237" t="s">
        <v>75</v>
      </c>
      <c r="E2237">
        <v>86</v>
      </c>
      <c r="F2237">
        <v>77</v>
      </c>
      <c r="G2237" s="1">
        <v>72700</v>
      </c>
      <c r="H2237" s="1">
        <v>39430</v>
      </c>
      <c r="I2237" s="1">
        <v>43373</v>
      </c>
      <c r="J2237" s="1">
        <v>1100</v>
      </c>
    </row>
    <row r="2238" spans="1:10" x14ac:dyDescent="0.3">
      <c r="A2238" t="s">
        <v>19</v>
      </c>
      <c r="B2238" t="s">
        <v>4</v>
      </c>
      <c r="C2238" t="s">
        <v>193</v>
      </c>
      <c r="D2238" t="s">
        <v>75</v>
      </c>
      <c r="E2238">
        <v>86</v>
      </c>
      <c r="F2238">
        <v>77</v>
      </c>
      <c r="G2238" s="1">
        <v>96300</v>
      </c>
      <c r="H2238" s="1">
        <v>94740</v>
      </c>
      <c r="I2238" s="1">
        <v>113688</v>
      </c>
      <c r="J2238" s="1">
        <v>1200</v>
      </c>
    </row>
    <row r="2239" spans="1:10" x14ac:dyDescent="0.3">
      <c r="A2239" t="s">
        <v>19</v>
      </c>
      <c r="B2239" t="s">
        <v>3</v>
      </c>
      <c r="C2239" t="s">
        <v>193</v>
      </c>
      <c r="D2239" t="s">
        <v>75</v>
      </c>
      <c r="E2239">
        <v>86</v>
      </c>
      <c r="F2239">
        <v>77</v>
      </c>
      <c r="G2239" s="1">
        <v>134200</v>
      </c>
      <c r="H2239" s="1">
        <v>117370</v>
      </c>
      <c r="I2239" s="1">
        <v>140844</v>
      </c>
      <c r="J2239" s="1">
        <v>1200</v>
      </c>
    </row>
    <row r="2240" spans="1:10" x14ac:dyDescent="0.3">
      <c r="A2240" t="s">
        <v>19</v>
      </c>
      <c r="B2240" t="s">
        <v>0</v>
      </c>
      <c r="C2240" t="s">
        <v>193</v>
      </c>
      <c r="D2240" t="s">
        <v>75</v>
      </c>
      <c r="E2240">
        <v>86</v>
      </c>
      <c r="F2240">
        <v>77</v>
      </c>
      <c r="G2240" s="1">
        <v>100684</v>
      </c>
      <c r="H2240" s="1">
        <v>100684</v>
      </c>
      <c r="I2240" s="1">
        <v>271847</v>
      </c>
      <c r="J2240" s="1">
        <v>2700</v>
      </c>
    </row>
    <row r="2241" spans="1:10" x14ac:dyDescent="0.3">
      <c r="A2241" t="s">
        <v>19</v>
      </c>
      <c r="B2241" t="s">
        <v>18</v>
      </c>
      <c r="C2241" t="s">
        <v>193</v>
      </c>
      <c r="D2241" t="s">
        <v>54</v>
      </c>
      <c r="E2241">
        <v>86</v>
      </c>
      <c r="F2241">
        <v>84</v>
      </c>
      <c r="G2241" s="1">
        <v>500</v>
      </c>
      <c r="H2241" s="1">
        <v>250</v>
      </c>
      <c r="I2241" s="1">
        <v>180</v>
      </c>
      <c r="J2241" s="1">
        <v>720</v>
      </c>
    </row>
    <row r="2242" spans="1:10" x14ac:dyDescent="0.3">
      <c r="A2242" t="s">
        <v>19</v>
      </c>
      <c r="B2242" t="s">
        <v>14</v>
      </c>
      <c r="C2242" t="s">
        <v>193</v>
      </c>
      <c r="D2242" t="s">
        <v>54</v>
      </c>
      <c r="E2242">
        <v>86</v>
      </c>
      <c r="F2242">
        <v>84</v>
      </c>
      <c r="G2242" s="1">
        <v>2500</v>
      </c>
      <c r="H2242" s="1">
        <v>1640</v>
      </c>
      <c r="I2242" s="1">
        <v>2296</v>
      </c>
      <c r="J2242" s="1">
        <v>1400</v>
      </c>
    </row>
    <row r="2243" spans="1:10" x14ac:dyDescent="0.3">
      <c r="A2243" t="s">
        <v>19</v>
      </c>
      <c r="B2243" t="s">
        <v>12</v>
      </c>
      <c r="C2243" t="s">
        <v>193</v>
      </c>
      <c r="D2243" t="s">
        <v>54</v>
      </c>
      <c r="E2243">
        <v>86</v>
      </c>
      <c r="F2243">
        <v>84</v>
      </c>
      <c r="G2243" s="1">
        <v>2000</v>
      </c>
      <c r="H2243" s="1">
        <v>2000</v>
      </c>
      <c r="I2243" s="1">
        <v>3000</v>
      </c>
      <c r="J2243" s="1">
        <v>1500</v>
      </c>
    </row>
    <row r="2244" spans="1:10" x14ac:dyDescent="0.3">
      <c r="A2244" t="s">
        <v>19</v>
      </c>
      <c r="B2244" t="s">
        <v>9</v>
      </c>
      <c r="C2244" t="s">
        <v>193</v>
      </c>
      <c r="D2244" t="s">
        <v>54</v>
      </c>
      <c r="E2244">
        <v>86</v>
      </c>
      <c r="F2244">
        <v>84</v>
      </c>
      <c r="G2244" s="1">
        <v>2000</v>
      </c>
      <c r="H2244" s="1">
        <v>2000</v>
      </c>
      <c r="I2244" s="1">
        <v>3600</v>
      </c>
      <c r="J2244" s="1">
        <v>1800</v>
      </c>
    </row>
    <row r="2245" spans="1:10" x14ac:dyDescent="0.3">
      <c r="A2245" t="s">
        <v>19</v>
      </c>
      <c r="B2245" t="s">
        <v>8</v>
      </c>
      <c r="C2245" t="s">
        <v>193</v>
      </c>
      <c r="D2245" t="s">
        <v>54</v>
      </c>
      <c r="E2245">
        <v>86</v>
      </c>
      <c r="F2245">
        <v>84</v>
      </c>
      <c r="G2245" s="1">
        <v>1500</v>
      </c>
      <c r="H2245" s="1">
        <v>1500</v>
      </c>
      <c r="I2245" s="1">
        <v>2700</v>
      </c>
      <c r="J2245" s="1">
        <v>1800</v>
      </c>
    </row>
    <row r="2246" spans="1:10" x14ac:dyDescent="0.3">
      <c r="A2246" t="s">
        <v>19</v>
      </c>
      <c r="B2246" t="s">
        <v>7</v>
      </c>
      <c r="C2246" t="s">
        <v>193</v>
      </c>
      <c r="D2246" t="s">
        <v>54</v>
      </c>
      <c r="E2246">
        <v>86</v>
      </c>
      <c r="F2246">
        <v>84</v>
      </c>
      <c r="G2246" s="1">
        <v>5000</v>
      </c>
      <c r="H2246" s="1">
        <v>5000</v>
      </c>
      <c r="I2246" s="1">
        <v>7500</v>
      </c>
      <c r="J2246" s="1">
        <v>1500</v>
      </c>
    </row>
    <row r="2247" spans="1:10" x14ac:dyDescent="0.3">
      <c r="A2247" t="s">
        <v>19</v>
      </c>
      <c r="B2247" t="s">
        <v>6</v>
      </c>
      <c r="C2247" t="s">
        <v>193</v>
      </c>
      <c r="D2247" t="s">
        <v>54</v>
      </c>
      <c r="E2247">
        <v>86</v>
      </c>
      <c r="F2247">
        <v>84</v>
      </c>
      <c r="G2247" s="1">
        <v>5000</v>
      </c>
      <c r="H2247" s="1">
        <v>5000</v>
      </c>
      <c r="I2247" s="1">
        <v>7500</v>
      </c>
      <c r="J2247" s="1">
        <v>1500</v>
      </c>
    </row>
    <row r="2248" spans="1:10" x14ac:dyDescent="0.3">
      <c r="A2248" t="s">
        <v>19</v>
      </c>
      <c r="B2248" t="s">
        <v>5</v>
      </c>
      <c r="C2248" t="s">
        <v>193</v>
      </c>
      <c r="D2248" t="s">
        <v>54</v>
      </c>
      <c r="E2248">
        <v>86</v>
      </c>
      <c r="F2248">
        <v>84</v>
      </c>
      <c r="G2248" s="1">
        <v>5000</v>
      </c>
      <c r="H2248" s="1">
        <v>5000</v>
      </c>
      <c r="I2248" s="1">
        <v>5000</v>
      </c>
      <c r="J2248" s="1">
        <v>1000</v>
      </c>
    </row>
    <row r="2249" spans="1:10" x14ac:dyDescent="0.3">
      <c r="A2249" t="s">
        <v>19</v>
      </c>
      <c r="B2249" t="s">
        <v>4</v>
      </c>
      <c r="C2249" t="s">
        <v>193</v>
      </c>
      <c r="D2249" t="s">
        <v>54</v>
      </c>
      <c r="E2249">
        <v>86</v>
      </c>
      <c r="F2249">
        <v>84</v>
      </c>
      <c r="G2249" s="1">
        <v>5000</v>
      </c>
      <c r="H2249" s="1">
        <v>5000</v>
      </c>
      <c r="I2249" s="1">
        <v>7000</v>
      </c>
      <c r="J2249" s="1">
        <v>1400</v>
      </c>
    </row>
    <row r="2250" spans="1:10" x14ac:dyDescent="0.3">
      <c r="A2250" t="s">
        <v>19</v>
      </c>
      <c r="B2250" t="s">
        <v>3</v>
      </c>
      <c r="C2250" t="s">
        <v>193</v>
      </c>
      <c r="D2250" t="s">
        <v>54</v>
      </c>
      <c r="E2250">
        <v>86</v>
      </c>
      <c r="F2250">
        <v>84</v>
      </c>
      <c r="G2250" s="1">
        <v>5000</v>
      </c>
      <c r="H2250" s="1">
        <v>4850</v>
      </c>
      <c r="I2250" s="1">
        <v>5335</v>
      </c>
      <c r="J2250" s="1">
        <v>1100</v>
      </c>
    </row>
    <row r="2251" spans="1:10" x14ac:dyDescent="0.3">
      <c r="A2251" t="s">
        <v>19</v>
      </c>
      <c r="B2251" t="s">
        <v>0</v>
      </c>
      <c r="C2251" t="s">
        <v>193</v>
      </c>
      <c r="D2251" t="s">
        <v>54</v>
      </c>
      <c r="E2251">
        <v>86</v>
      </c>
      <c r="F2251">
        <v>84</v>
      </c>
      <c r="G2251" s="1">
        <v>5000</v>
      </c>
      <c r="H2251" s="1">
        <v>4700</v>
      </c>
      <c r="I2251" s="1">
        <v>4700</v>
      </c>
      <c r="J2251" s="1">
        <v>1000</v>
      </c>
    </row>
    <row r="2252" spans="1:10" x14ac:dyDescent="0.3">
      <c r="A2252" t="s">
        <v>19</v>
      </c>
      <c r="B2252" t="s">
        <v>18</v>
      </c>
      <c r="C2252" t="s">
        <v>193</v>
      </c>
      <c r="D2252" t="s">
        <v>70</v>
      </c>
      <c r="E2252">
        <v>86</v>
      </c>
      <c r="F2252">
        <v>91</v>
      </c>
      <c r="G2252" s="1">
        <v>25000</v>
      </c>
      <c r="H2252" s="1">
        <v>13000</v>
      </c>
      <c r="I2252" s="1">
        <v>19500</v>
      </c>
      <c r="J2252" s="1">
        <v>1500</v>
      </c>
    </row>
    <row r="2253" spans="1:10" x14ac:dyDescent="0.3">
      <c r="A2253" t="s">
        <v>19</v>
      </c>
      <c r="B2253" t="s">
        <v>17</v>
      </c>
      <c r="C2253" t="s">
        <v>193</v>
      </c>
      <c r="D2253" t="s">
        <v>70</v>
      </c>
      <c r="E2253">
        <v>86</v>
      </c>
      <c r="F2253">
        <v>91</v>
      </c>
      <c r="G2253" s="1">
        <v>33320</v>
      </c>
      <c r="H2253" s="1">
        <v>29820</v>
      </c>
      <c r="I2253" s="1">
        <v>41750</v>
      </c>
      <c r="J2253" s="1">
        <v>1400</v>
      </c>
    </row>
    <row r="2254" spans="1:10" x14ac:dyDescent="0.3">
      <c r="A2254" t="s">
        <v>19</v>
      </c>
      <c r="B2254" t="s">
        <v>14</v>
      </c>
      <c r="C2254" t="s">
        <v>193</v>
      </c>
      <c r="D2254" t="s">
        <v>70</v>
      </c>
      <c r="E2254">
        <v>86</v>
      </c>
      <c r="F2254">
        <v>91</v>
      </c>
      <c r="G2254" s="1">
        <v>38700</v>
      </c>
      <c r="H2254" s="1">
        <v>25530</v>
      </c>
      <c r="I2254" s="1">
        <v>53613</v>
      </c>
      <c r="J2254" s="1">
        <v>2100</v>
      </c>
    </row>
    <row r="2255" spans="1:10" x14ac:dyDescent="0.3">
      <c r="A2255" t="s">
        <v>19</v>
      </c>
      <c r="B2255" t="s">
        <v>12</v>
      </c>
      <c r="C2255" t="s">
        <v>193</v>
      </c>
      <c r="D2255" t="s">
        <v>70</v>
      </c>
      <c r="E2255">
        <v>86</v>
      </c>
      <c r="F2255">
        <v>91</v>
      </c>
      <c r="G2255" s="1">
        <v>48580</v>
      </c>
      <c r="H2255" s="1">
        <v>48580</v>
      </c>
      <c r="I2255" s="1">
        <v>106876</v>
      </c>
      <c r="J2255" s="1">
        <v>2200</v>
      </c>
    </row>
    <row r="2256" spans="1:10" x14ac:dyDescent="0.3">
      <c r="A2256" t="s">
        <v>19</v>
      </c>
      <c r="B2256" t="s">
        <v>9</v>
      </c>
      <c r="C2256" t="s">
        <v>193</v>
      </c>
      <c r="D2256" t="s">
        <v>70</v>
      </c>
      <c r="E2256">
        <v>86</v>
      </c>
      <c r="F2256">
        <v>91</v>
      </c>
      <c r="G2256" s="1">
        <v>27234</v>
      </c>
      <c r="H2256" s="1">
        <v>27234</v>
      </c>
      <c r="I2256" s="1">
        <v>49021</v>
      </c>
      <c r="J2256" s="1">
        <v>1800</v>
      </c>
    </row>
    <row r="2257" spans="1:10" x14ac:dyDescent="0.3">
      <c r="A2257" t="s">
        <v>19</v>
      </c>
      <c r="B2257" t="s">
        <v>8</v>
      </c>
      <c r="C2257" t="s">
        <v>193</v>
      </c>
      <c r="D2257" t="s">
        <v>70</v>
      </c>
      <c r="E2257">
        <v>86</v>
      </c>
      <c r="F2257">
        <v>91</v>
      </c>
      <c r="G2257" s="1">
        <v>30000</v>
      </c>
      <c r="H2257" s="1">
        <v>30000</v>
      </c>
      <c r="I2257" s="1">
        <v>72000</v>
      </c>
      <c r="J2257" s="1">
        <v>2400</v>
      </c>
    </row>
    <row r="2258" spans="1:10" x14ac:dyDescent="0.3">
      <c r="A2258" t="s">
        <v>19</v>
      </c>
      <c r="B2258" t="s">
        <v>7</v>
      </c>
      <c r="C2258" t="s">
        <v>193</v>
      </c>
      <c r="D2258" t="s">
        <v>70</v>
      </c>
      <c r="E2258">
        <v>86</v>
      </c>
      <c r="F2258">
        <v>91</v>
      </c>
      <c r="G2258" s="1">
        <v>30000</v>
      </c>
      <c r="H2258" s="1">
        <v>26000</v>
      </c>
      <c r="I2258" s="1">
        <v>39000</v>
      </c>
      <c r="J2258" s="1">
        <v>1500</v>
      </c>
    </row>
    <row r="2259" spans="1:10" x14ac:dyDescent="0.3">
      <c r="A2259" t="s">
        <v>19</v>
      </c>
      <c r="B2259" t="s">
        <v>6</v>
      </c>
      <c r="C2259" t="s">
        <v>193</v>
      </c>
      <c r="D2259" t="s">
        <v>70</v>
      </c>
      <c r="E2259">
        <v>86</v>
      </c>
      <c r="F2259">
        <v>91</v>
      </c>
      <c r="G2259" s="1">
        <v>28000</v>
      </c>
      <c r="H2259" s="1">
        <v>28000</v>
      </c>
      <c r="I2259" s="1">
        <v>56000</v>
      </c>
      <c r="J2259" s="1">
        <v>2000</v>
      </c>
    </row>
    <row r="2260" spans="1:10" x14ac:dyDescent="0.3">
      <c r="A2260" t="s">
        <v>19</v>
      </c>
      <c r="B2260" t="s">
        <v>5</v>
      </c>
      <c r="C2260" t="s">
        <v>193</v>
      </c>
      <c r="D2260" t="s">
        <v>70</v>
      </c>
      <c r="E2260">
        <v>86</v>
      </c>
      <c r="F2260">
        <v>91</v>
      </c>
      <c r="G2260" s="1">
        <v>30000</v>
      </c>
      <c r="H2260" s="1">
        <v>30000</v>
      </c>
      <c r="I2260" s="1">
        <v>45000</v>
      </c>
      <c r="J2260" s="1">
        <v>1500</v>
      </c>
    </row>
    <row r="2261" spans="1:10" x14ac:dyDescent="0.3">
      <c r="A2261" t="s">
        <v>19</v>
      </c>
      <c r="B2261" t="s">
        <v>4</v>
      </c>
      <c r="C2261" t="s">
        <v>193</v>
      </c>
      <c r="D2261" t="s">
        <v>70</v>
      </c>
      <c r="E2261">
        <v>86</v>
      </c>
      <c r="F2261">
        <v>91</v>
      </c>
      <c r="G2261" s="1">
        <v>30000</v>
      </c>
      <c r="H2261" s="1">
        <v>30000</v>
      </c>
      <c r="I2261" s="1">
        <v>60000</v>
      </c>
      <c r="J2261" s="1">
        <v>2000</v>
      </c>
    </row>
    <row r="2262" spans="1:10" x14ac:dyDescent="0.3">
      <c r="A2262" t="s">
        <v>19</v>
      </c>
      <c r="B2262" t="s">
        <v>3</v>
      </c>
      <c r="C2262" t="s">
        <v>193</v>
      </c>
      <c r="D2262" t="s">
        <v>70</v>
      </c>
      <c r="E2262">
        <v>86</v>
      </c>
      <c r="F2262">
        <v>91</v>
      </c>
      <c r="G2262" s="1">
        <v>30000</v>
      </c>
      <c r="H2262" s="1">
        <v>29920</v>
      </c>
      <c r="I2262" s="1">
        <v>32912</v>
      </c>
      <c r="J2262" s="1">
        <v>1100</v>
      </c>
    </row>
    <row r="2263" spans="1:10" x14ac:dyDescent="0.3">
      <c r="A2263" t="s">
        <v>19</v>
      </c>
      <c r="B2263" t="s">
        <v>0</v>
      </c>
      <c r="C2263" t="s">
        <v>193</v>
      </c>
      <c r="D2263" t="s">
        <v>70</v>
      </c>
      <c r="E2263">
        <v>86</v>
      </c>
      <c r="F2263">
        <v>91</v>
      </c>
      <c r="G2263" s="1">
        <v>30000</v>
      </c>
      <c r="H2263" s="1">
        <v>29200</v>
      </c>
      <c r="I2263" s="1">
        <v>29200</v>
      </c>
      <c r="J2263" s="1">
        <v>1000</v>
      </c>
    </row>
    <row r="2264" spans="1:10" x14ac:dyDescent="0.3">
      <c r="A2264" t="s">
        <v>19</v>
      </c>
      <c r="B2264" t="s">
        <v>18</v>
      </c>
      <c r="C2264" t="s">
        <v>193</v>
      </c>
      <c r="D2264" t="s">
        <v>69</v>
      </c>
      <c r="E2264">
        <v>86</v>
      </c>
      <c r="F2264">
        <v>98</v>
      </c>
      <c r="G2264" s="1">
        <v>10000</v>
      </c>
      <c r="H2264" s="1">
        <v>6000</v>
      </c>
      <c r="I2264" s="1">
        <v>6600</v>
      </c>
      <c r="J2264" s="1">
        <v>1100</v>
      </c>
    </row>
    <row r="2265" spans="1:10" x14ac:dyDescent="0.3">
      <c r="A2265" t="s">
        <v>19</v>
      </c>
      <c r="B2265" t="s">
        <v>17</v>
      </c>
      <c r="C2265" t="s">
        <v>193</v>
      </c>
      <c r="D2265" t="s">
        <v>69</v>
      </c>
      <c r="E2265">
        <v>86</v>
      </c>
      <c r="F2265">
        <v>98</v>
      </c>
      <c r="G2265" s="1">
        <v>7680</v>
      </c>
      <c r="H2265" s="1">
        <v>6980</v>
      </c>
      <c r="I2265" s="1">
        <v>14660</v>
      </c>
      <c r="J2265" s="1">
        <v>2100</v>
      </c>
    </row>
    <row r="2266" spans="1:10" x14ac:dyDescent="0.3">
      <c r="A2266" t="s">
        <v>19</v>
      </c>
      <c r="B2266" t="s">
        <v>14</v>
      </c>
      <c r="C2266" t="s">
        <v>193</v>
      </c>
      <c r="D2266" t="s">
        <v>69</v>
      </c>
      <c r="E2266">
        <v>86</v>
      </c>
      <c r="F2266">
        <v>98</v>
      </c>
      <c r="G2266" s="1">
        <v>15000</v>
      </c>
      <c r="H2266" s="1">
        <v>9900</v>
      </c>
      <c r="I2266" s="1">
        <v>26730</v>
      </c>
      <c r="J2266" s="1">
        <v>2700</v>
      </c>
    </row>
    <row r="2267" spans="1:10" x14ac:dyDescent="0.3">
      <c r="A2267" t="s">
        <v>19</v>
      </c>
      <c r="B2267" t="s">
        <v>12</v>
      </c>
      <c r="C2267" t="s">
        <v>193</v>
      </c>
      <c r="D2267" t="s">
        <v>69</v>
      </c>
      <c r="E2267">
        <v>86</v>
      </c>
      <c r="F2267">
        <v>98</v>
      </c>
      <c r="G2267" s="1">
        <v>15100</v>
      </c>
      <c r="H2267" s="1">
        <v>15100</v>
      </c>
      <c r="I2267" s="1">
        <v>16610</v>
      </c>
      <c r="J2267" s="1">
        <v>1100</v>
      </c>
    </row>
    <row r="2268" spans="1:10" x14ac:dyDescent="0.3">
      <c r="A2268" t="s">
        <v>19</v>
      </c>
      <c r="B2268" t="s">
        <v>9</v>
      </c>
      <c r="C2268" t="s">
        <v>193</v>
      </c>
      <c r="D2268" t="s">
        <v>69</v>
      </c>
      <c r="E2268">
        <v>86</v>
      </c>
      <c r="F2268">
        <v>98</v>
      </c>
      <c r="G2268" s="1">
        <v>12077</v>
      </c>
      <c r="H2268" s="1">
        <v>12077</v>
      </c>
      <c r="I2268" s="1">
        <v>26569</v>
      </c>
      <c r="J2268" s="1">
        <v>2200</v>
      </c>
    </row>
    <row r="2269" spans="1:10" x14ac:dyDescent="0.3">
      <c r="A2269" t="s">
        <v>19</v>
      </c>
      <c r="B2269" t="s">
        <v>8</v>
      </c>
      <c r="C2269" t="s">
        <v>193</v>
      </c>
      <c r="D2269" t="s">
        <v>69</v>
      </c>
      <c r="E2269">
        <v>86</v>
      </c>
      <c r="F2269">
        <v>98</v>
      </c>
      <c r="G2269" s="1">
        <v>27200</v>
      </c>
      <c r="H2269" s="1">
        <v>27200</v>
      </c>
      <c r="I2269" s="1">
        <v>73440</v>
      </c>
      <c r="J2269" s="1">
        <v>2700</v>
      </c>
    </row>
    <row r="2270" spans="1:10" x14ac:dyDescent="0.3">
      <c r="A2270" t="s">
        <v>19</v>
      </c>
      <c r="B2270" t="s">
        <v>7</v>
      </c>
      <c r="C2270" t="s">
        <v>193</v>
      </c>
      <c r="D2270" t="s">
        <v>69</v>
      </c>
      <c r="E2270">
        <v>86</v>
      </c>
      <c r="F2270">
        <v>98</v>
      </c>
      <c r="G2270" s="1">
        <v>12300</v>
      </c>
      <c r="H2270" s="1">
        <v>2500</v>
      </c>
      <c r="I2270" s="1">
        <v>2250</v>
      </c>
      <c r="J2270" s="1">
        <v>900</v>
      </c>
    </row>
    <row r="2271" spans="1:10" x14ac:dyDescent="0.3">
      <c r="A2271" t="s">
        <v>19</v>
      </c>
      <c r="B2271" t="s">
        <v>6</v>
      </c>
      <c r="C2271" t="s">
        <v>193</v>
      </c>
      <c r="D2271" t="s">
        <v>69</v>
      </c>
      <c r="E2271">
        <v>86</v>
      </c>
      <c r="F2271">
        <v>98</v>
      </c>
      <c r="G2271" s="1">
        <v>24800</v>
      </c>
      <c r="H2271" s="1">
        <v>16670</v>
      </c>
      <c r="I2271" s="1">
        <v>18337</v>
      </c>
      <c r="J2271" s="1">
        <v>1100</v>
      </c>
    </row>
    <row r="2272" spans="1:10" x14ac:dyDescent="0.3">
      <c r="A2272" t="s">
        <v>19</v>
      </c>
      <c r="B2272" t="s">
        <v>5</v>
      </c>
      <c r="C2272" t="s">
        <v>193</v>
      </c>
      <c r="D2272" t="s">
        <v>69</v>
      </c>
      <c r="E2272">
        <v>86</v>
      </c>
      <c r="F2272">
        <v>98</v>
      </c>
      <c r="G2272" s="1">
        <v>5060</v>
      </c>
      <c r="H2272" s="1">
        <v>2950</v>
      </c>
      <c r="I2272" s="1">
        <v>3245</v>
      </c>
      <c r="J2272" s="1">
        <v>1100</v>
      </c>
    </row>
    <row r="2273" spans="1:10" x14ac:dyDescent="0.3">
      <c r="A2273" t="s">
        <v>19</v>
      </c>
      <c r="B2273" t="s">
        <v>4</v>
      </c>
      <c r="C2273" t="s">
        <v>193</v>
      </c>
      <c r="D2273" t="s">
        <v>69</v>
      </c>
      <c r="E2273">
        <v>86</v>
      </c>
      <c r="F2273">
        <v>98</v>
      </c>
      <c r="G2273" s="1">
        <v>12550</v>
      </c>
      <c r="H2273" s="1">
        <v>12550</v>
      </c>
      <c r="I2273" s="1">
        <v>15060</v>
      </c>
      <c r="J2273" s="1">
        <v>1200</v>
      </c>
    </row>
    <row r="2274" spans="1:10" x14ac:dyDescent="0.3">
      <c r="A2274" t="s">
        <v>19</v>
      </c>
      <c r="B2274" t="s">
        <v>3</v>
      </c>
      <c r="C2274" t="s">
        <v>193</v>
      </c>
      <c r="D2274" t="s">
        <v>69</v>
      </c>
      <c r="E2274">
        <v>86</v>
      </c>
      <c r="F2274">
        <v>98</v>
      </c>
      <c r="G2274" s="1">
        <v>20900</v>
      </c>
      <c r="H2274" s="1">
        <v>17680</v>
      </c>
      <c r="I2274" s="1">
        <v>15912</v>
      </c>
      <c r="J2274" s="1">
        <v>900</v>
      </c>
    </row>
    <row r="2275" spans="1:10" x14ac:dyDescent="0.3">
      <c r="A2275" t="s">
        <v>19</v>
      </c>
      <c r="B2275" t="s">
        <v>0</v>
      </c>
      <c r="C2275" t="s">
        <v>193</v>
      </c>
      <c r="D2275" t="s">
        <v>69</v>
      </c>
      <c r="E2275">
        <v>86</v>
      </c>
      <c r="F2275">
        <v>98</v>
      </c>
      <c r="G2275" s="1">
        <v>20800</v>
      </c>
      <c r="H2275" s="1">
        <v>20660</v>
      </c>
      <c r="I2275" s="1">
        <v>49584</v>
      </c>
      <c r="J2275" s="1">
        <v>2400</v>
      </c>
    </row>
    <row r="2276" spans="1:10" x14ac:dyDescent="0.3">
      <c r="A2276" t="s">
        <v>19</v>
      </c>
      <c r="B2276" t="s">
        <v>12</v>
      </c>
      <c r="C2276" t="s">
        <v>193</v>
      </c>
      <c r="D2276" t="s">
        <v>31</v>
      </c>
      <c r="E2276">
        <v>86</v>
      </c>
      <c r="F2276">
        <v>105</v>
      </c>
      <c r="G2276" s="1">
        <v>1000</v>
      </c>
      <c r="H2276" s="1">
        <v>1000</v>
      </c>
      <c r="I2276" s="1">
        <v>2200</v>
      </c>
      <c r="J2276" s="1">
        <v>2200</v>
      </c>
    </row>
    <row r="2277" spans="1:10" x14ac:dyDescent="0.3">
      <c r="A2277" t="s">
        <v>19</v>
      </c>
      <c r="B2277" t="s">
        <v>9</v>
      </c>
      <c r="C2277" t="s">
        <v>193</v>
      </c>
      <c r="D2277" t="s">
        <v>31</v>
      </c>
      <c r="E2277">
        <v>86</v>
      </c>
      <c r="F2277">
        <v>105</v>
      </c>
      <c r="G2277" s="1">
        <v>1200</v>
      </c>
      <c r="H2277" s="1">
        <v>1200</v>
      </c>
      <c r="I2277" s="1">
        <v>2400</v>
      </c>
      <c r="J2277" s="1">
        <v>2000</v>
      </c>
    </row>
    <row r="2278" spans="1:10" x14ac:dyDescent="0.3">
      <c r="A2278" t="s">
        <v>19</v>
      </c>
      <c r="B2278" t="s">
        <v>8</v>
      </c>
      <c r="C2278" t="s">
        <v>193</v>
      </c>
      <c r="D2278" t="s">
        <v>31</v>
      </c>
      <c r="E2278">
        <v>86</v>
      </c>
      <c r="F2278">
        <v>105</v>
      </c>
      <c r="G2278" s="1">
        <v>1000</v>
      </c>
      <c r="H2278" s="1">
        <v>1000</v>
      </c>
      <c r="I2278" s="1">
        <v>2000</v>
      </c>
      <c r="J2278" s="1">
        <v>2000</v>
      </c>
    </row>
    <row r="2279" spans="1:10" x14ac:dyDescent="0.3">
      <c r="A2279" t="s">
        <v>19</v>
      </c>
      <c r="B2279" t="s">
        <v>7</v>
      </c>
      <c r="C2279" t="s">
        <v>193</v>
      </c>
      <c r="D2279" t="s">
        <v>31</v>
      </c>
      <c r="E2279">
        <v>86</v>
      </c>
      <c r="F2279">
        <v>105</v>
      </c>
      <c r="G2279" s="1">
        <v>1000</v>
      </c>
      <c r="H2279" s="1">
        <v>1000</v>
      </c>
      <c r="I2279" s="1">
        <v>2000</v>
      </c>
      <c r="J2279" s="1">
        <v>2000</v>
      </c>
    </row>
    <row r="2280" spans="1:10" x14ac:dyDescent="0.3">
      <c r="A2280" t="s">
        <v>19</v>
      </c>
      <c r="B2280" t="s">
        <v>6</v>
      </c>
      <c r="C2280" t="s">
        <v>193</v>
      </c>
      <c r="D2280" t="s">
        <v>31</v>
      </c>
      <c r="E2280">
        <v>86</v>
      </c>
      <c r="F2280">
        <v>105</v>
      </c>
      <c r="G2280" s="1">
        <v>1000</v>
      </c>
      <c r="H2280" s="1">
        <v>1000</v>
      </c>
      <c r="I2280" s="1">
        <v>2000</v>
      </c>
      <c r="J2280" s="1">
        <v>2000</v>
      </c>
    </row>
    <row r="2281" spans="1:10" x14ac:dyDescent="0.3">
      <c r="A2281" t="s">
        <v>19</v>
      </c>
      <c r="B2281" t="s">
        <v>5</v>
      </c>
      <c r="C2281" t="s">
        <v>193</v>
      </c>
      <c r="D2281" t="s">
        <v>31</v>
      </c>
      <c r="E2281">
        <v>86</v>
      </c>
      <c r="F2281">
        <v>105</v>
      </c>
      <c r="G2281" s="1">
        <v>1000</v>
      </c>
      <c r="H2281" s="1">
        <v>1000</v>
      </c>
      <c r="I2281" s="1">
        <v>2000</v>
      </c>
      <c r="J2281" s="1">
        <v>2000</v>
      </c>
    </row>
    <row r="2282" spans="1:10" x14ac:dyDescent="0.3">
      <c r="A2282" t="s">
        <v>19</v>
      </c>
      <c r="B2282" t="s">
        <v>4</v>
      </c>
      <c r="C2282" t="s">
        <v>193</v>
      </c>
      <c r="D2282" t="s">
        <v>31</v>
      </c>
      <c r="E2282">
        <v>86</v>
      </c>
      <c r="F2282">
        <v>105</v>
      </c>
      <c r="G2282" s="1">
        <v>1000</v>
      </c>
      <c r="H2282" s="1">
        <v>1000</v>
      </c>
      <c r="I2282" s="1">
        <v>1600</v>
      </c>
      <c r="J2282" s="1">
        <v>1600</v>
      </c>
    </row>
    <row r="2283" spans="1:10" x14ac:dyDescent="0.3">
      <c r="A2283" t="s">
        <v>19</v>
      </c>
      <c r="B2283" t="s">
        <v>3</v>
      </c>
      <c r="C2283" t="s">
        <v>193</v>
      </c>
      <c r="D2283" t="s">
        <v>31</v>
      </c>
      <c r="E2283">
        <v>86</v>
      </c>
      <c r="F2283">
        <v>105</v>
      </c>
      <c r="G2283" s="1">
        <v>1000</v>
      </c>
      <c r="H2283" s="1">
        <v>975</v>
      </c>
      <c r="I2283" s="1">
        <v>1073</v>
      </c>
      <c r="J2283" s="1">
        <v>1100</v>
      </c>
    </row>
    <row r="2284" spans="1:10" x14ac:dyDescent="0.3">
      <c r="A2284" t="s">
        <v>19</v>
      </c>
      <c r="B2284" t="s">
        <v>0</v>
      </c>
      <c r="C2284" t="s">
        <v>193</v>
      </c>
      <c r="D2284" t="s">
        <v>31</v>
      </c>
      <c r="E2284">
        <v>86</v>
      </c>
      <c r="F2284">
        <v>105</v>
      </c>
      <c r="G2284" s="1">
        <v>1000</v>
      </c>
      <c r="H2284" s="1">
        <v>850</v>
      </c>
      <c r="I2284" s="1">
        <v>765</v>
      </c>
      <c r="J2284" s="1">
        <v>900</v>
      </c>
    </row>
    <row r="2285" spans="1:10" x14ac:dyDescent="0.3">
      <c r="A2285" t="s">
        <v>19</v>
      </c>
      <c r="B2285" t="s">
        <v>18</v>
      </c>
      <c r="C2285" t="s">
        <v>193</v>
      </c>
      <c r="D2285" t="s">
        <v>56</v>
      </c>
      <c r="E2285">
        <v>86</v>
      </c>
      <c r="F2285">
        <v>112</v>
      </c>
      <c r="G2285" s="1">
        <v>2500</v>
      </c>
      <c r="H2285" s="1">
        <v>1600</v>
      </c>
      <c r="I2285" s="1">
        <v>1920</v>
      </c>
      <c r="J2285" s="1">
        <v>1200</v>
      </c>
    </row>
    <row r="2286" spans="1:10" x14ac:dyDescent="0.3">
      <c r="A2286" t="s">
        <v>19</v>
      </c>
      <c r="B2286" t="s">
        <v>17</v>
      </c>
      <c r="C2286" t="s">
        <v>193</v>
      </c>
      <c r="D2286" t="s">
        <v>56</v>
      </c>
      <c r="E2286">
        <v>86</v>
      </c>
      <c r="F2286">
        <v>112</v>
      </c>
      <c r="G2286" s="1">
        <v>3000</v>
      </c>
      <c r="H2286" s="1">
        <v>3000</v>
      </c>
      <c r="I2286" s="1">
        <v>4500</v>
      </c>
      <c r="J2286" s="1">
        <v>1500</v>
      </c>
    </row>
    <row r="2287" spans="1:10" x14ac:dyDescent="0.3">
      <c r="A2287" t="s">
        <v>19</v>
      </c>
      <c r="B2287" t="s">
        <v>14</v>
      </c>
      <c r="C2287" t="s">
        <v>193</v>
      </c>
      <c r="D2287" t="s">
        <v>56</v>
      </c>
      <c r="E2287">
        <v>86</v>
      </c>
      <c r="F2287">
        <v>112</v>
      </c>
      <c r="G2287" s="1">
        <v>5000</v>
      </c>
      <c r="H2287" s="1">
        <v>3290</v>
      </c>
      <c r="I2287" s="1">
        <v>4606</v>
      </c>
      <c r="J2287" s="1">
        <v>1400</v>
      </c>
    </row>
    <row r="2288" spans="1:10" x14ac:dyDescent="0.3">
      <c r="A2288" t="s">
        <v>19</v>
      </c>
      <c r="B2288" t="s">
        <v>12</v>
      </c>
      <c r="C2288" t="s">
        <v>193</v>
      </c>
      <c r="D2288" t="s">
        <v>56</v>
      </c>
      <c r="E2288">
        <v>86</v>
      </c>
      <c r="F2288">
        <v>112</v>
      </c>
      <c r="G2288" s="1">
        <v>5000</v>
      </c>
      <c r="H2288" s="1">
        <v>5000</v>
      </c>
      <c r="I2288" s="1">
        <v>11000</v>
      </c>
      <c r="J2288" s="1">
        <v>2200</v>
      </c>
    </row>
    <row r="2289" spans="1:10" x14ac:dyDescent="0.3">
      <c r="A2289" t="s">
        <v>19</v>
      </c>
      <c r="B2289" t="s">
        <v>9</v>
      </c>
      <c r="C2289" t="s">
        <v>193</v>
      </c>
      <c r="D2289" t="s">
        <v>56</v>
      </c>
      <c r="E2289">
        <v>86</v>
      </c>
      <c r="F2289">
        <v>112</v>
      </c>
      <c r="G2289" s="1">
        <v>3000</v>
      </c>
      <c r="H2289" s="1">
        <v>3000</v>
      </c>
      <c r="I2289" s="1">
        <v>4500</v>
      </c>
      <c r="J2289" s="1">
        <v>1500</v>
      </c>
    </row>
    <row r="2290" spans="1:10" x14ac:dyDescent="0.3">
      <c r="A2290" t="s">
        <v>19</v>
      </c>
      <c r="B2290" t="s">
        <v>8</v>
      </c>
      <c r="C2290" t="s">
        <v>193</v>
      </c>
      <c r="D2290" t="s">
        <v>56</v>
      </c>
      <c r="E2290">
        <v>86</v>
      </c>
      <c r="F2290">
        <v>112</v>
      </c>
      <c r="G2290" s="1">
        <v>3000</v>
      </c>
      <c r="H2290" s="1">
        <v>3000</v>
      </c>
      <c r="I2290" s="1">
        <v>6000</v>
      </c>
      <c r="J2290" s="1">
        <v>2000</v>
      </c>
    </row>
    <row r="2291" spans="1:10" x14ac:dyDescent="0.3">
      <c r="A2291" t="s">
        <v>19</v>
      </c>
      <c r="B2291" t="s">
        <v>7</v>
      </c>
      <c r="C2291" t="s">
        <v>193</v>
      </c>
      <c r="D2291" t="s">
        <v>56</v>
      </c>
      <c r="E2291">
        <v>86</v>
      </c>
      <c r="F2291">
        <v>112</v>
      </c>
      <c r="G2291" s="1">
        <v>3000</v>
      </c>
      <c r="H2291" s="1">
        <v>2600</v>
      </c>
      <c r="I2291" s="1">
        <v>3900</v>
      </c>
      <c r="J2291" s="1">
        <v>1500</v>
      </c>
    </row>
    <row r="2292" spans="1:10" x14ac:dyDescent="0.3">
      <c r="A2292" t="s">
        <v>19</v>
      </c>
      <c r="B2292" t="s">
        <v>6</v>
      </c>
      <c r="C2292" t="s">
        <v>193</v>
      </c>
      <c r="D2292" t="s">
        <v>56</v>
      </c>
      <c r="E2292">
        <v>86</v>
      </c>
      <c r="F2292">
        <v>112</v>
      </c>
      <c r="G2292" s="1">
        <v>2100</v>
      </c>
      <c r="H2292" s="1">
        <v>2100</v>
      </c>
      <c r="I2292" s="1">
        <v>3780</v>
      </c>
      <c r="J2292" s="1">
        <v>1800</v>
      </c>
    </row>
    <row r="2293" spans="1:10" x14ac:dyDescent="0.3">
      <c r="A2293" t="s">
        <v>19</v>
      </c>
      <c r="B2293" t="s">
        <v>5</v>
      </c>
      <c r="C2293" t="s">
        <v>193</v>
      </c>
      <c r="D2293" t="s">
        <v>56</v>
      </c>
      <c r="E2293">
        <v>86</v>
      </c>
      <c r="F2293">
        <v>112</v>
      </c>
      <c r="G2293" s="1">
        <v>4000</v>
      </c>
      <c r="H2293" s="1">
        <v>4000</v>
      </c>
      <c r="I2293" s="1">
        <v>4800</v>
      </c>
      <c r="J2293" s="1">
        <v>1200</v>
      </c>
    </row>
    <row r="2294" spans="1:10" x14ac:dyDescent="0.3">
      <c r="A2294" t="s">
        <v>19</v>
      </c>
      <c r="B2294" t="s">
        <v>4</v>
      </c>
      <c r="C2294" t="s">
        <v>193</v>
      </c>
      <c r="D2294" t="s">
        <v>56</v>
      </c>
      <c r="E2294">
        <v>86</v>
      </c>
      <c r="F2294">
        <v>112</v>
      </c>
      <c r="G2294" s="1">
        <v>4000</v>
      </c>
      <c r="H2294" s="1">
        <v>4000</v>
      </c>
      <c r="I2294" s="1">
        <v>5600</v>
      </c>
      <c r="J2294" s="1">
        <v>1400</v>
      </c>
    </row>
    <row r="2295" spans="1:10" x14ac:dyDescent="0.3">
      <c r="A2295" t="s">
        <v>19</v>
      </c>
      <c r="B2295" t="s">
        <v>3</v>
      </c>
      <c r="C2295" t="s">
        <v>193</v>
      </c>
      <c r="D2295" t="s">
        <v>56</v>
      </c>
      <c r="E2295">
        <v>86</v>
      </c>
      <c r="F2295">
        <v>112</v>
      </c>
      <c r="G2295" s="1">
        <v>4000</v>
      </c>
      <c r="H2295" s="1">
        <v>3910</v>
      </c>
      <c r="I2295" s="1">
        <v>4301</v>
      </c>
      <c r="J2295" s="1">
        <v>1100</v>
      </c>
    </row>
    <row r="2296" spans="1:10" x14ac:dyDescent="0.3">
      <c r="A2296" t="s">
        <v>19</v>
      </c>
      <c r="B2296" t="s">
        <v>0</v>
      </c>
      <c r="C2296" t="s">
        <v>193</v>
      </c>
      <c r="D2296" t="s">
        <v>56</v>
      </c>
      <c r="E2296">
        <v>86</v>
      </c>
      <c r="F2296">
        <v>112</v>
      </c>
      <c r="G2296" s="1">
        <v>4000</v>
      </c>
      <c r="H2296" s="1">
        <v>3450</v>
      </c>
      <c r="I2296" s="1">
        <v>2760</v>
      </c>
      <c r="J2296" s="1">
        <v>800</v>
      </c>
    </row>
    <row r="2297" spans="1:10" x14ac:dyDescent="0.3">
      <c r="A2297" t="s">
        <v>19</v>
      </c>
      <c r="B2297" t="s">
        <v>18</v>
      </c>
      <c r="C2297" t="s">
        <v>193</v>
      </c>
      <c r="D2297" t="s">
        <v>72</v>
      </c>
      <c r="E2297">
        <v>86</v>
      </c>
      <c r="F2297">
        <v>119</v>
      </c>
      <c r="G2297" s="1">
        <v>25000</v>
      </c>
      <c r="H2297" s="1">
        <v>13000</v>
      </c>
      <c r="I2297" s="1">
        <v>14300</v>
      </c>
      <c r="J2297" s="1">
        <v>1100</v>
      </c>
    </row>
    <row r="2298" spans="1:10" x14ac:dyDescent="0.3">
      <c r="A2298" t="s">
        <v>19</v>
      </c>
      <c r="B2298" t="s">
        <v>17</v>
      </c>
      <c r="C2298" t="s">
        <v>193</v>
      </c>
      <c r="D2298" t="s">
        <v>72</v>
      </c>
      <c r="E2298">
        <v>86</v>
      </c>
      <c r="F2298">
        <v>119</v>
      </c>
      <c r="G2298" s="1">
        <v>7750</v>
      </c>
      <c r="H2298" s="1">
        <v>6950</v>
      </c>
      <c r="I2298" s="1">
        <v>14600</v>
      </c>
      <c r="J2298" s="1">
        <v>2101</v>
      </c>
    </row>
    <row r="2299" spans="1:10" x14ac:dyDescent="0.3">
      <c r="A2299" t="s">
        <v>19</v>
      </c>
      <c r="B2299" t="s">
        <v>14</v>
      </c>
      <c r="C2299" t="s">
        <v>193</v>
      </c>
      <c r="D2299" t="s">
        <v>72</v>
      </c>
      <c r="E2299">
        <v>86</v>
      </c>
      <c r="F2299">
        <v>119</v>
      </c>
      <c r="G2299" s="1">
        <v>18700</v>
      </c>
      <c r="H2299" s="1">
        <v>12340</v>
      </c>
      <c r="I2299" s="1">
        <v>33318</v>
      </c>
      <c r="J2299" s="1">
        <v>2700</v>
      </c>
    </row>
    <row r="2300" spans="1:10" x14ac:dyDescent="0.3">
      <c r="A2300" t="s">
        <v>19</v>
      </c>
      <c r="B2300" t="s">
        <v>12</v>
      </c>
      <c r="C2300" t="s">
        <v>193</v>
      </c>
      <c r="D2300" t="s">
        <v>72</v>
      </c>
      <c r="E2300">
        <v>86</v>
      </c>
      <c r="F2300">
        <v>119</v>
      </c>
      <c r="G2300" s="1">
        <v>90000</v>
      </c>
      <c r="H2300" s="1">
        <v>90000</v>
      </c>
      <c r="I2300" s="1">
        <v>135000</v>
      </c>
      <c r="J2300" s="1">
        <v>1500</v>
      </c>
    </row>
    <row r="2301" spans="1:10" x14ac:dyDescent="0.3">
      <c r="A2301" t="s">
        <v>19</v>
      </c>
      <c r="B2301" t="s">
        <v>9</v>
      </c>
      <c r="C2301" t="s">
        <v>193</v>
      </c>
      <c r="D2301" t="s">
        <v>72</v>
      </c>
      <c r="E2301">
        <v>86</v>
      </c>
      <c r="F2301">
        <v>119</v>
      </c>
      <c r="G2301" s="1">
        <v>32516</v>
      </c>
      <c r="H2301" s="1">
        <v>32516</v>
      </c>
      <c r="I2301" s="1">
        <v>74787</v>
      </c>
      <c r="J2301" s="1">
        <v>2300</v>
      </c>
    </row>
    <row r="2302" spans="1:10" x14ac:dyDescent="0.3">
      <c r="A2302" t="s">
        <v>19</v>
      </c>
      <c r="B2302" t="s">
        <v>8</v>
      </c>
      <c r="C2302" t="s">
        <v>193</v>
      </c>
      <c r="D2302" t="s">
        <v>72</v>
      </c>
      <c r="E2302">
        <v>86</v>
      </c>
      <c r="F2302">
        <v>119</v>
      </c>
      <c r="G2302" s="1">
        <v>106000</v>
      </c>
      <c r="H2302" s="1">
        <v>106000</v>
      </c>
      <c r="I2302" s="1">
        <v>275600</v>
      </c>
      <c r="J2302" s="1">
        <v>2600</v>
      </c>
    </row>
    <row r="2303" spans="1:10" x14ac:dyDescent="0.3">
      <c r="A2303" t="s">
        <v>19</v>
      </c>
      <c r="B2303" t="s">
        <v>7</v>
      </c>
      <c r="C2303" t="s">
        <v>193</v>
      </c>
      <c r="D2303" t="s">
        <v>72</v>
      </c>
      <c r="E2303">
        <v>86</v>
      </c>
      <c r="F2303">
        <v>119</v>
      </c>
      <c r="G2303" s="1">
        <v>35200</v>
      </c>
      <c r="H2303" s="1">
        <v>11400</v>
      </c>
      <c r="I2303" s="1">
        <v>6840</v>
      </c>
      <c r="J2303" s="1">
        <v>600</v>
      </c>
    </row>
    <row r="2304" spans="1:10" x14ac:dyDescent="0.3">
      <c r="A2304" t="s">
        <v>19</v>
      </c>
      <c r="B2304" t="s">
        <v>6</v>
      </c>
      <c r="C2304" t="s">
        <v>193</v>
      </c>
      <c r="D2304" t="s">
        <v>72</v>
      </c>
      <c r="E2304">
        <v>86</v>
      </c>
      <c r="F2304">
        <v>119</v>
      </c>
      <c r="G2304" s="1">
        <v>70030</v>
      </c>
      <c r="H2304" s="1">
        <v>51090</v>
      </c>
      <c r="I2304" s="1">
        <v>56199</v>
      </c>
      <c r="J2304" s="1">
        <v>1100</v>
      </c>
    </row>
    <row r="2305" spans="1:10" x14ac:dyDescent="0.3">
      <c r="A2305" t="s">
        <v>19</v>
      </c>
      <c r="B2305" t="s">
        <v>5</v>
      </c>
      <c r="C2305" t="s">
        <v>193</v>
      </c>
      <c r="D2305" t="s">
        <v>72</v>
      </c>
      <c r="E2305">
        <v>86</v>
      </c>
      <c r="F2305">
        <v>119</v>
      </c>
      <c r="G2305" s="1">
        <v>21800</v>
      </c>
      <c r="H2305" s="1">
        <v>10030</v>
      </c>
      <c r="I2305" s="1">
        <v>12036</v>
      </c>
      <c r="J2305" s="1">
        <v>1200</v>
      </c>
    </row>
    <row r="2306" spans="1:10" x14ac:dyDescent="0.3">
      <c r="A2306" t="s">
        <v>19</v>
      </c>
      <c r="B2306" t="s">
        <v>4</v>
      </c>
      <c r="C2306" t="s">
        <v>193</v>
      </c>
      <c r="D2306" t="s">
        <v>72</v>
      </c>
      <c r="E2306">
        <v>86</v>
      </c>
      <c r="F2306">
        <v>119</v>
      </c>
      <c r="G2306" s="1">
        <v>33400</v>
      </c>
      <c r="H2306" s="1">
        <v>33160</v>
      </c>
      <c r="I2306" s="1">
        <v>39792</v>
      </c>
      <c r="J2306" s="1">
        <v>1200</v>
      </c>
    </row>
    <row r="2307" spans="1:10" x14ac:dyDescent="0.3">
      <c r="A2307" t="s">
        <v>19</v>
      </c>
      <c r="B2307" t="s">
        <v>3</v>
      </c>
      <c r="C2307" t="s">
        <v>193</v>
      </c>
      <c r="D2307" t="s">
        <v>72</v>
      </c>
      <c r="E2307">
        <v>86</v>
      </c>
      <c r="F2307">
        <v>119</v>
      </c>
      <c r="G2307" s="1">
        <v>52790</v>
      </c>
      <c r="H2307" s="1">
        <v>45630</v>
      </c>
      <c r="I2307" s="1">
        <v>41067</v>
      </c>
      <c r="J2307" s="1">
        <v>900</v>
      </c>
    </row>
    <row r="2308" spans="1:10" x14ac:dyDescent="0.3">
      <c r="A2308" t="s">
        <v>19</v>
      </c>
      <c r="B2308" t="s">
        <v>0</v>
      </c>
      <c r="C2308" t="s">
        <v>193</v>
      </c>
      <c r="D2308" t="s">
        <v>72</v>
      </c>
      <c r="E2308">
        <v>86</v>
      </c>
      <c r="F2308">
        <v>119</v>
      </c>
      <c r="G2308" s="1">
        <v>51870</v>
      </c>
      <c r="H2308" s="1">
        <v>51490</v>
      </c>
      <c r="I2308" s="1">
        <v>108129</v>
      </c>
      <c r="J2308" s="1">
        <v>2100</v>
      </c>
    </row>
    <row r="2309" spans="1:10" x14ac:dyDescent="0.3">
      <c r="A2309" t="s">
        <v>19</v>
      </c>
      <c r="B2309" t="s">
        <v>18</v>
      </c>
      <c r="C2309" t="s">
        <v>193</v>
      </c>
      <c r="D2309" t="s">
        <v>68</v>
      </c>
      <c r="E2309">
        <v>86</v>
      </c>
      <c r="F2309">
        <v>133</v>
      </c>
      <c r="G2309" s="1">
        <v>33000</v>
      </c>
      <c r="H2309" s="1">
        <v>19000</v>
      </c>
      <c r="I2309" s="1">
        <v>28500</v>
      </c>
      <c r="J2309" s="1">
        <v>1500</v>
      </c>
    </row>
    <row r="2310" spans="1:10" x14ac:dyDescent="0.3">
      <c r="A2310" t="s">
        <v>19</v>
      </c>
      <c r="B2310" t="s">
        <v>17</v>
      </c>
      <c r="C2310" t="s">
        <v>193</v>
      </c>
      <c r="D2310" t="s">
        <v>68</v>
      </c>
      <c r="E2310">
        <v>86</v>
      </c>
      <c r="F2310">
        <v>133</v>
      </c>
      <c r="G2310" s="1">
        <v>13180</v>
      </c>
      <c r="H2310" s="1">
        <v>11380</v>
      </c>
      <c r="I2310" s="1">
        <v>15930</v>
      </c>
      <c r="J2310" s="1">
        <v>1400</v>
      </c>
    </row>
    <row r="2311" spans="1:10" x14ac:dyDescent="0.3">
      <c r="A2311" t="s">
        <v>19</v>
      </c>
      <c r="B2311" t="s">
        <v>14</v>
      </c>
      <c r="C2311" t="s">
        <v>193</v>
      </c>
      <c r="D2311" t="s">
        <v>68</v>
      </c>
      <c r="E2311">
        <v>86</v>
      </c>
      <c r="F2311">
        <v>133</v>
      </c>
      <c r="G2311" s="1">
        <v>23400</v>
      </c>
      <c r="H2311" s="1">
        <v>15440</v>
      </c>
      <c r="I2311" s="1">
        <v>29336</v>
      </c>
      <c r="J2311" s="1">
        <v>1900</v>
      </c>
    </row>
    <row r="2312" spans="1:10" x14ac:dyDescent="0.3">
      <c r="A2312" t="s">
        <v>19</v>
      </c>
      <c r="B2312" t="s">
        <v>12</v>
      </c>
      <c r="C2312" t="s">
        <v>193</v>
      </c>
      <c r="D2312" t="s">
        <v>68</v>
      </c>
      <c r="E2312">
        <v>86</v>
      </c>
      <c r="F2312">
        <v>133</v>
      </c>
      <c r="G2312" s="1">
        <v>25680</v>
      </c>
      <c r="H2312" s="1">
        <v>25680</v>
      </c>
      <c r="I2312" s="1">
        <v>56496</v>
      </c>
      <c r="J2312" s="1">
        <v>2200</v>
      </c>
    </row>
    <row r="2313" spans="1:10" x14ac:dyDescent="0.3">
      <c r="A2313" t="s">
        <v>19</v>
      </c>
      <c r="B2313" t="s">
        <v>9</v>
      </c>
      <c r="C2313" t="s">
        <v>193</v>
      </c>
      <c r="D2313" t="s">
        <v>68</v>
      </c>
      <c r="E2313">
        <v>86</v>
      </c>
      <c r="F2313">
        <v>133</v>
      </c>
      <c r="G2313" s="1">
        <v>21594</v>
      </c>
      <c r="H2313" s="1">
        <v>21594</v>
      </c>
      <c r="I2313" s="1">
        <v>38869</v>
      </c>
      <c r="J2313" s="1">
        <v>1800</v>
      </c>
    </row>
    <row r="2314" spans="1:10" x14ac:dyDescent="0.3">
      <c r="A2314" t="s">
        <v>19</v>
      </c>
      <c r="B2314" t="s">
        <v>8</v>
      </c>
      <c r="C2314" t="s">
        <v>193</v>
      </c>
      <c r="D2314" t="s">
        <v>68</v>
      </c>
      <c r="E2314">
        <v>86</v>
      </c>
      <c r="F2314">
        <v>133</v>
      </c>
      <c r="G2314" s="1">
        <v>25000</v>
      </c>
      <c r="H2314" s="1">
        <v>25000</v>
      </c>
      <c r="I2314" s="1">
        <v>60000</v>
      </c>
      <c r="J2314" s="1">
        <v>2400</v>
      </c>
    </row>
    <row r="2315" spans="1:10" x14ac:dyDescent="0.3">
      <c r="A2315" t="s">
        <v>19</v>
      </c>
      <c r="B2315" t="s">
        <v>7</v>
      </c>
      <c r="C2315" t="s">
        <v>193</v>
      </c>
      <c r="D2315" t="s">
        <v>68</v>
      </c>
      <c r="E2315">
        <v>86</v>
      </c>
      <c r="F2315">
        <v>133</v>
      </c>
      <c r="G2315" s="1">
        <v>25000</v>
      </c>
      <c r="H2315" s="1">
        <v>21700</v>
      </c>
      <c r="I2315" s="1">
        <v>32550</v>
      </c>
      <c r="J2315" s="1">
        <v>1500</v>
      </c>
    </row>
    <row r="2316" spans="1:10" x14ac:dyDescent="0.3">
      <c r="A2316" t="s">
        <v>19</v>
      </c>
      <c r="B2316" t="s">
        <v>6</v>
      </c>
      <c r="C2316" t="s">
        <v>193</v>
      </c>
      <c r="D2316" t="s">
        <v>68</v>
      </c>
      <c r="E2316">
        <v>86</v>
      </c>
      <c r="F2316">
        <v>133</v>
      </c>
      <c r="G2316" s="1">
        <v>23200</v>
      </c>
      <c r="H2316" s="1">
        <v>23200</v>
      </c>
      <c r="I2316" s="1">
        <v>46360</v>
      </c>
      <c r="J2316" s="1">
        <v>1998</v>
      </c>
    </row>
    <row r="2317" spans="1:10" x14ac:dyDescent="0.3">
      <c r="A2317" t="s">
        <v>19</v>
      </c>
      <c r="B2317" t="s">
        <v>5</v>
      </c>
      <c r="C2317" t="s">
        <v>193</v>
      </c>
      <c r="D2317" t="s">
        <v>68</v>
      </c>
      <c r="E2317">
        <v>86</v>
      </c>
      <c r="F2317">
        <v>133</v>
      </c>
      <c r="G2317" s="1">
        <v>25200</v>
      </c>
      <c r="H2317" s="1">
        <v>25200</v>
      </c>
      <c r="I2317" s="1">
        <v>37700</v>
      </c>
      <c r="J2317" s="1">
        <v>1496</v>
      </c>
    </row>
    <row r="2318" spans="1:10" x14ac:dyDescent="0.3">
      <c r="A2318" t="s">
        <v>19</v>
      </c>
      <c r="B2318" t="s">
        <v>4</v>
      </c>
      <c r="C2318" t="s">
        <v>193</v>
      </c>
      <c r="D2318" t="s">
        <v>68</v>
      </c>
      <c r="E2318">
        <v>86</v>
      </c>
      <c r="F2318">
        <v>133</v>
      </c>
      <c r="G2318" s="1">
        <v>25200</v>
      </c>
      <c r="H2318" s="1">
        <v>25200</v>
      </c>
      <c r="I2318" s="1">
        <v>42900</v>
      </c>
      <c r="J2318" s="1">
        <v>1702</v>
      </c>
    </row>
    <row r="2319" spans="1:10" x14ac:dyDescent="0.3">
      <c r="A2319" t="s">
        <v>19</v>
      </c>
      <c r="B2319" t="s">
        <v>3</v>
      </c>
      <c r="C2319" t="s">
        <v>193</v>
      </c>
      <c r="D2319" t="s">
        <v>68</v>
      </c>
      <c r="E2319">
        <v>86</v>
      </c>
      <c r="F2319">
        <v>133</v>
      </c>
      <c r="G2319" s="1">
        <v>25200</v>
      </c>
      <c r="H2319" s="1">
        <v>25100</v>
      </c>
      <c r="I2319" s="1">
        <v>27570</v>
      </c>
      <c r="J2319" s="1">
        <v>1098</v>
      </c>
    </row>
    <row r="2320" spans="1:10" x14ac:dyDescent="0.3">
      <c r="A2320" t="s">
        <v>19</v>
      </c>
      <c r="B2320" t="s">
        <v>0</v>
      </c>
      <c r="C2320" t="s">
        <v>193</v>
      </c>
      <c r="D2320" t="s">
        <v>68</v>
      </c>
      <c r="E2320">
        <v>86</v>
      </c>
      <c r="F2320">
        <v>133</v>
      </c>
      <c r="G2320" s="1">
        <v>25200</v>
      </c>
      <c r="H2320" s="1">
        <v>24140</v>
      </c>
      <c r="I2320" s="1">
        <v>24112</v>
      </c>
      <c r="J2320" s="1">
        <v>999</v>
      </c>
    </row>
    <row r="2321" spans="1:10" x14ac:dyDescent="0.3">
      <c r="A2321" t="s">
        <v>19</v>
      </c>
      <c r="B2321" t="s">
        <v>18</v>
      </c>
      <c r="C2321" t="s">
        <v>193</v>
      </c>
      <c r="D2321" t="s">
        <v>65</v>
      </c>
      <c r="E2321">
        <v>86</v>
      </c>
      <c r="F2321">
        <v>147</v>
      </c>
      <c r="G2321" s="1">
        <v>1500</v>
      </c>
      <c r="H2321" s="1">
        <v>1000</v>
      </c>
      <c r="I2321" s="1">
        <v>1000</v>
      </c>
      <c r="J2321" s="1">
        <v>1000</v>
      </c>
    </row>
    <row r="2322" spans="1:10" x14ac:dyDescent="0.3">
      <c r="A2322" t="s">
        <v>19</v>
      </c>
      <c r="B2322" t="s">
        <v>17</v>
      </c>
      <c r="C2322" t="s">
        <v>193</v>
      </c>
      <c r="D2322" t="s">
        <v>65</v>
      </c>
      <c r="E2322">
        <v>86</v>
      </c>
      <c r="F2322">
        <v>147</v>
      </c>
      <c r="G2322" s="1">
        <v>1000</v>
      </c>
      <c r="H2322" s="1">
        <v>1000</v>
      </c>
      <c r="I2322" s="1">
        <v>1000</v>
      </c>
      <c r="J2322" s="1">
        <v>1000</v>
      </c>
    </row>
    <row r="2323" spans="1:10" x14ac:dyDescent="0.3">
      <c r="A2323" t="s">
        <v>19</v>
      </c>
      <c r="B2323" t="s">
        <v>14</v>
      </c>
      <c r="C2323" t="s">
        <v>193</v>
      </c>
      <c r="D2323" t="s">
        <v>65</v>
      </c>
      <c r="E2323">
        <v>86</v>
      </c>
      <c r="F2323">
        <v>147</v>
      </c>
      <c r="G2323" s="1">
        <v>11700</v>
      </c>
      <c r="H2323" s="1">
        <v>7710</v>
      </c>
      <c r="I2323" s="1">
        <v>14649</v>
      </c>
      <c r="J2323" s="1">
        <v>1900</v>
      </c>
    </row>
    <row r="2324" spans="1:10" x14ac:dyDescent="0.3">
      <c r="A2324" t="s">
        <v>19</v>
      </c>
      <c r="B2324" t="s">
        <v>12</v>
      </c>
      <c r="C2324" t="s">
        <v>193</v>
      </c>
      <c r="D2324" t="s">
        <v>65</v>
      </c>
      <c r="E2324">
        <v>86</v>
      </c>
      <c r="F2324">
        <v>147</v>
      </c>
      <c r="G2324" s="1">
        <v>12430</v>
      </c>
      <c r="H2324" s="1">
        <v>12430</v>
      </c>
      <c r="I2324" s="1">
        <v>27346</v>
      </c>
      <c r="J2324" s="1">
        <v>2200</v>
      </c>
    </row>
    <row r="2325" spans="1:10" x14ac:dyDescent="0.3">
      <c r="A2325" t="s">
        <v>19</v>
      </c>
      <c r="B2325" t="s">
        <v>9</v>
      </c>
      <c r="C2325" t="s">
        <v>193</v>
      </c>
      <c r="D2325" t="s">
        <v>65</v>
      </c>
      <c r="E2325">
        <v>86</v>
      </c>
      <c r="F2325">
        <v>147</v>
      </c>
      <c r="G2325" s="1">
        <v>8804</v>
      </c>
      <c r="H2325" s="1">
        <v>8804</v>
      </c>
      <c r="I2325" s="1">
        <v>15847</v>
      </c>
      <c r="J2325" s="1">
        <v>1800</v>
      </c>
    </row>
    <row r="2326" spans="1:10" x14ac:dyDescent="0.3">
      <c r="A2326" t="s">
        <v>19</v>
      </c>
      <c r="B2326" t="s">
        <v>8</v>
      </c>
      <c r="C2326" t="s">
        <v>193</v>
      </c>
      <c r="D2326" t="s">
        <v>65</v>
      </c>
      <c r="E2326">
        <v>86</v>
      </c>
      <c r="F2326">
        <v>147</v>
      </c>
      <c r="G2326" s="1">
        <v>10000</v>
      </c>
      <c r="H2326" s="1">
        <v>10000</v>
      </c>
      <c r="I2326" s="1">
        <v>24000</v>
      </c>
      <c r="J2326" s="1">
        <v>2400</v>
      </c>
    </row>
    <row r="2327" spans="1:10" x14ac:dyDescent="0.3">
      <c r="A2327" t="s">
        <v>19</v>
      </c>
      <c r="B2327" t="s">
        <v>7</v>
      </c>
      <c r="C2327" t="s">
        <v>193</v>
      </c>
      <c r="D2327" t="s">
        <v>65</v>
      </c>
      <c r="E2327">
        <v>86</v>
      </c>
      <c r="F2327">
        <v>147</v>
      </c>
      <c r="G2327" s="1">
        <v>12674</v>
      </c>
      <c r="H2327" s="1">
        <v>11174</v>
      </c>
      <c r="I2327" s="1">
        <v>16761</v>
      </c>
      <c r="J2327" s="1">
        <v>1500</v>
      </c>
    </row>
    <row r="2328" spans="1:10" x14ac:dyDescent="0.3">
      <c r="A2328" t="s">
        <v>19</v>
      </c>
      <c r="B2328" t="s">
        <v>6</v>
      </c>
      <c r="C2328" t="s">
        <v>193</v>
      </c>
      <c r="D2328" t="s">
        <v>65</v>
      </c>
      <c r="E2328">
        <v>86</v>
      </c>
      <c r="F2328">
        <v>147</v>
      </c>
      <c r="G2328" s="1">
        <v>9500</v>
      </c>
      <c r="H2328" s="1">
        <v>9500</v>
      </c>
      <c r="I2328" s="1">
        <v>18700</v>
      </c>
      <c r="J2328" s="1">
        <v>1968</v>
      </c>
    </row>
    <row r="2329" spans="1:10" x14ac:dyDescent="0.3">
      <c r="A2329" t="s">
        <v>19</v>
      </c>
      <c r="B2329" t="s">
        <v>5</v>
      </c>
      <c r="C2329" t="s">
        <v>193</v>
      </c>
      <c r="D2329" t="s">
        <v>65</v>
      </c>
      <c r="E2329">
        <v>86</v>
      </c>
      <c r="F2329">
        <v>147</v>
      </c>
      <c r="G2329" s="1">
        <v>11500</v>
      </c>
      <c r="H2329" s="1">
        <v>11500</v>
      </c>
      <c r="I2329" s="1">
        <v>16500</v>
      </c>
      <c r="J2329" s="1">
        <v>1435</v>
      </c>
    </row>
    <row r="2330" spans="1:10" x14ac:dyDescent="0.3">
      <c r="A2330" t="s">
        <v>19</v>
      </c>
      <c r="B2330" t="s">
        <v>4</v>
      </c>
      <c r="C2330" t="s">
        <v>193</v>
      </c>
      <c r="D2330" t="s">
        <v>65</v>
      </c>
      <c r="E2330">
        <v>86</v>
      </c>
      <c r="F2330">
        <v>147</v>
      </c>
      <c r="G2330" s="1">
        <v>11500</v>
      </c>
      <c r="H2330" s="1">
        <v>11500</v>
      </c>
      <c r="I2330" s="1">
        <v>22550</v>
      </c>
      <c r="J2330" s="1">
        <v>1961</v>
      </c>
    </row>
    <row r="2331" spans="1:10" x14ac:dyDescent="0.3">
      <c r="A2331" t="s">
        <v>19</v>
      </c>
      <c r="B2331" t="s">
        <v>3</v>
      </c>
      <c r="C2331" t="s">
        <v>193</v>
      </c>
      <c r="D2331" t="s">
        <v>65</v>
      </c>
      <c r="E2331">
        <v>86</v>
      </c>
      <c r="F2331">
        <v>147</v>
      </c>
      <c r="G2331" s="1">
        <v>11500</v>
      </c>
      <c r="H2331" s="1">
        <v>11370</v>
      </c>
      <c r="I2331" s="1">
        <v>12507</v>
      </c>
      <c r="J2331" s="1">
        <v>1100</v>
      </c>
    </row>
    <row r="2332" spans="1:10" x14ac:dyDescent="0.3">
      <c r="A2332" t="s">
        <v>19</v>
      </c>
      <c r="B2332" t="s">
        <v>0</v>
      </c>
      <c r="C2332" t="s">
        <v>193</v>
      </c>
      <c r="D2332" t="s">
        <v>65</v>
      </c>
      <c r="E2332">
        <v>86</v>
      </c>
      <c r="F2332">
        <v>147</v>
      </c>
      <c r="G2332" s="1">
        <v>11500</v>
      </c>
      <c r="H2332" s="1">
        <v>10800</v>
      </c>
      <c r="I2332" s="1">
        <v>10670</v>
      </c>
      <c r="J2332" s="1">
        <v>988</v>
      </c>
    </row>
    <row r="2333" spans="1:10" x14ac:dyDescent="0.3">
      <c r="A2333" t="s">
        <v>19</v>
      </c>
      <c r="B2333" t="s">
        <v>18</v>
      </c>
      <c r="C2333" t="s">
        <v>193</v>
      </c>
      <c r="D2333" t="s">
        <v>58</v>
      </c>
      <c r="E2333">
        <v>86</v>
      </c>
      <c r="F2333">
        <v>154</v>
      </c>
      <c r="G2333" s="1">
        <v>4000</v>
      </c>
      <c r="H2333" s="1">
        <v>2400</v>
      </c>
      <c r="I2333" s="1">
        <v>3360</v>
      </c>
      <c r="J2333" s="1">
        <v>1400</v>
      </c>
    </row>
    <row r="2334" spans="1:10" x14ac:dyDescent="0.3">
      <c r="A2334" t="s">
        <v>19</v>
      </c>
      <c r="B2334" t="s">
        <v>17</v>
      </c>
      <c r="C2334" t="s">
        <v>193</v>
      </c>
      <c r="D2334" t="s">
        <v>58</v>
      </c>
      <c r="E2334">
        <v>86</v>
      </c>
      <c r="F2334">
        <v>154</v>
      </c>
      <c r="G2334" s="1">
        <v>2500</v>
      </c>
      <c r="H2334" s="1">
        <v>2500</v>
      </c>
      <c r="I2334" s="1">
        <v>6000</v>
      </c>
      <c r="J2334" s="1">
        <v>2400</v>
      </c>
    </row>
    <row r="2335" spans="1:10" x14ac:dyDescent="0.3">
      <c r="A2335" t="s">
        <v>19</v>
      </c>
      <c r="B2335" t="s">
        <v>14</v>
      </c>
      <c r="C2335" t="s">
        <v>193</v>
      </c>
      <c r="D2335" t="s">
        <v>58</v>
      </c>
      <c r="E2335">
        <v>86</v>
      </c>
      <c r="F2335">
        <v>154</v>
      </c>
      <c r="G2335" s="1">
        <v>26700</v>
      </c>
      <c r="H2335" s="1">
        <v>17610</v>
      </c>
      <c r="I2335" s="1">
        <v>51069</v>
      </c>
      <c r="J2335" s="1">
        <v>2900</v>
      </c>
    </row>
    <row r="2336" spans="1:10" x14ac:dyDescent="0.3">
      <c r="A2336" t="s">
        <v>19</v>
      </c>
      <c r="B2336" t="s">
        <v>12</v>
      </c>
      <c r="C2336" t="s">
        <v>193</v>
      </c>
      <c r="D2336" t="s">
        <v>58</v>
      </c>
      <c r="E2336">
        <v>86</v>
      </c>
      <c r="F2336">
        <v>154</v>
      </c>
      <c r="G2336" s="1">
        <v>27800</v>
      </c>
      <c r="H2336" s="1">
        <v>27800</v>
      </c>
      <c r="I2336" s="1">
        <v>55600</v>
      </c>
      <c r="J2336" s="1">
        <v>2000</v>
      </c>
    </row>
    <row r="2337" spans="1:10" x14ac:dyDescent="0.3">
      <c r="A2337" t="s">
        <v>19</v>
      </c>
      <c r="B2337" t="s">
        <v>9</v>
      </c>
      <c r="C2337" t="s">
        <v>193</v>
      </c>
      <c r="D2337" t="s">
        <v>58</v>
      </c>
      <c r="E2337">
        <v>86</v>
      </c>
      <c r="F2337">
        <v>154</v>
      </c>
      <c r="G2337" s="1">
        <v>24704</v>
      </c>
      <c r="H2337" s="1">
        <v>24704</v>
      </c>
      <c r="I2337" s="1">
        <v>49408</v>
      </c>
      <c r="J2337" s="1">
        <v>2000</v>
      </c>
    </row>
    <row r="2338" spans="1:10" x14ac:dyDescent="0.3">
      <c r="A2338" t="s">
        <v>19</v>
      </c>
      <c r="B2338" t="s">
        <v>8</v>
      </c>
      <c r="C2338" t="s">
        <v>193</v>
      </c>
      <c r="D2338" t="s">
        <v>58</v>
      </c>
      <c r="E2338">
        <v>86</v>
      </c>
      <c r="F2338">
        <v>154</v>
      </c>
      <c r="G2338" s="1">
        <v>32200</v>
      </c>
      <c r="H2338" s="1">
        <v>32200</v>
      </c>
      <c r="I2338" s="1">
        <v>99820</v>
      </c>
      <c r="J2338" s="1">
        <v>3100</v>
      </c>
    </row>
    <row r="2339" spans="1:10" x14ac:dyDescent="0.3">
      <c r="A2339" t="s">
        <v>19</v>
      </c>
      <c r="B2339" t="s">
        <v>7</v>
      </c>
      <c r="C2339" t="s">
        <v>193</v>
      </c>
      <c r="D2339" t="s">
        <v>58</v>
      </c>
      <c r="E2339">
        <v>86</v>
      </c>
      <c r="F2339">
        <v>154</v>
      </c>
      <c r="G2339" s="1">
        <v>9800</v>
      </c>
      <c r="H2339" s="1">
        <v>6500</v>
      </c>
      <c r="I2339" s="1">
        <v>5850</v>
      </c>
      <c r="J2339" s="1">
        <v>900</v>
      </c>
    </row>
    <row r="2340" spans="1:10" x14ac:dyDescent="0.3">
      <c r="A2340" t="s">
        <v>19</v>
      </c>
      <c r="B2340" t="s">
        <v>6</v>
      </c>
      <c r="C2340" t="s">
        <v>193</v>
      </c>
      <c r="D2340" t="s">
        <v>58</v>
      </c>
      <c r="E2340">
        <v>86</v>
      </c>
      <c r="F2340">
        <v>154</v>
      </c>
      <c r="G2340" s="1">
        <v>13120</v>
      </c>
      <c r="H2340" s="1">
        <v>11970</v>
      </c>
      <c r="I2340" s="1">
        <v>15561</v>
      </c>
      <c r="J2340" s="1">
        <v>1300</v>
      </c>
    </row>
    <row r="2341" spans="1:10" x14ac:dyDescent="0.3">
      <c r="A2341" t="s">
        <v>19</v>
      </c>
      <c r="B2341" t="s">
        <v>5</v>
      </c>
      <c r="C2341" t="s">
        <v>193</v>
      </c>
      <c r="D2341" t="s">
        <v>58</v>
      </c>
      <c r="E2341">
        <v>86</v>
      </c>
      <c r="F2341">
        <v>154</v>
      </c>
      <c r="G2341" s="1">
        <v>7280</v>
      </c>
      <c r="H2341" s="1">
        <v>3890</v>
      </c>
      <c r="I2341" s="1">
        <v>4668</v>
      </c>
      <c r="J2341" s="1">
        <v>1200</v>
      </c>
    </row>
    <row r="2342" spans="1:10" x14ac:dyDescent="0.3">
      <c r="A2342" t="s">
        <v>19</v>
      </c>
      <c r="B2342" t="s">
        <v>4</v>
      </c>
      <c r="C2342" t="s">
        <v>193</v>
      </c>
      <c r="D2342" t="s">
        <v>58</v>
      </c>
      <c r="E2342">
        <v>86</v>
      </c>
      <c r="F2342">
        <v>154</v>
      </c>
      <c r="G2342" s="1">
        <v>12300</v>
      </c>
      <c r="H2342" s="1">
        <v>12300</v>
      </c>
      <c r="I2342" s="1">
        <v>14760</v>
      </c>
      <c r="J2342" s="1">
        <v>1200</v>
      </c>
    </row>
    <row r="2343" spans="1:10" x14ac:dyDescent="0.3">
      <c r="A2343" t="s">
        <v>19</v>
      </c>
      <c r="B2343" t="s">
        <v>3</v>
      </c>
      <c r="C2343" t="s">
        <v>193</v>
      </c>
      <c r="D2343" t="s">
        <v>58</v>
      </c>
      <c r="E2343">
        <v>86</v>
      </c>
      <c r="F2343">
        <v>154</v>
      </c>
      <c r="G2343" s="1">
        <v>17500</v>
      </c>
      <c r="H2343" s="1">
        <v>16720</v>
      </c>
      <c r="I2343" s="1">
        <v>18392</v>
      </c>
      <c r="J2343" s="1">
        <v>1100</v>
      </c>
    </row>
    <row r="2344" spans="1:10" x14ac:dyDescent="0.3">
      <c r="A2344" t="s">
        <v>19</v>
      </c>
      <c r="B2344" t="s">
        <v>0</v>
      </c>
      <c r="C2344" t="s">
        <v>193</v>
      </c>
      <c r="D2344" t="s">
        <v>58</v>
      </c>
      <c r="E2344">
        <v>86</v>
      </c>
      <c r="F2344">
        <v>154</v>
      </c>
      <c r="G2344" s="1">
        <v>17870</v>
      </c>
      <c r="H2344" s="1">
        <v>17870</v>
      </c>
      <c r="I2344" s="1">
        <v>50036</v>
      </c>
      <c r="J2344" s="1">
        <v>2800</v>
      </c>
    </row>
    <row r="2345" spans="1:10" x14ac:dyDescent="0.3">
      <c r="A2345" t="s">
        <v>19</v>
      </c>
      <c r="B2345" t="s">
        <v>18</v>
      </c>
      <c r="C2345" t="s">
        <v>193</v>
      </c>
      <c r="D2345" t="s">
        <v>42</v>
      </c>
      <c r="E2345">
        <v>86</v>
      </c>
      <c r="F2345">
        <v>161</v>
      </c>
      <c r="G2345" s="1">
        <v>2000</v>
      </c>
      <c r="H2345" s="1">
        <v>1300</v>
      </c>
      <c r="I2345" s="1">
        <v>1950</v>
      </c>
      <c r="J2345" s="1">
        <v>1500</v>
      </c>
    </row>
    <row r="2346" spans="1:10" x14ac:dyDescent="0.3">
      <c r="A2346" t="s">
        <v>19</v>
      </c>
      <c r="B2346" t="s">
        <v>17</v>
      </c>
      <c r="C2346" t="s">
        <v>193</v>
      </c>
      <c r="D2346" t="s">
        <v>42</v>
      </c>
      <c r="E2346">
        <v>86</v>
      </c>
      <c r="F2346">
        <v>161</v>
      </c>
      <c r="G2346" s="1">
        <v>1000</v>
      </c>
      <c r="H2346" s="1">
        <v>1000</v>
      </c>
      <c r="I2346" s="1">
        <v>1800</v>
      </c>
      <c r="J2346" s="1">
        <v>1800</v>
      </c>
    </row>
    <row r="2347" spans="1:10" x14ac:dyDescent="0.3">
      <c r="A2347" t="s">
        <v>19</v>
      </c>
      <c r="B2347" t="s">
        <v>14</v>
      </c>
      <c r="C2347" t="s">
        <v>193</v>
      </c>
      <c r="D2347" t="s">
        <v>42</v>
      </c>
      <c r="E2347">
        <v>86</v>
      </c>
      <c r="F2347">
        <v>161</v>
      </c>
      <c r="G2347" s="1">
        <v>2000</v>
      </c>
      <c r="H2347" s="1">
        <v>1310</v>
      </c>
      <c r="I2347" s="1">
        <v>3537</v>
      </c>
      <c r="J2347" s="1">
        <v>2700</v>
      </c>
    </row>
    <row r="2348" spans="1:10" x14ac:dyDescent="0.3">
      <c r="A2348" t="s">
        <v>19</v>
      </c>
      <c r="B2348" t="s">
        <v>12</v>
      </c>
      <c r="C2348" t="s">
        <v>193</v>
      </c>
      <c r="D2348" t="s">
        <v>42</v>
      </c>
      <c r="E2348">
        <v>86</v>
      </c>
      <c r="F2348">
        <v>161</v>
      </c>
      <c r="G2348" s="1">
        <v>2500</v>
      </c>
      <c r="H2348" s="1">
        <v>2500</v>
      </c>
      <c r="I2348" s="1">
        <v>6250</v>
      </c>
      <c r="J2348" s="1">
        <v>2500</v>
      </c>
    </row>
    <row r="2349" spans="1:10" x14ac:dyDescent="0.3">
      <c r="A2349" t="s">
        <v>19</v>
      </c>
      <c r="B2349" t="s">
        <v>9</v>
      </c>
      <c r="C2349" t="s">
        <v>193</v>
      </c>
      <c r="D2349" t="s">
        <v>42</v>
      </c>
      <c r="E2349">
        <v>86</v>
      </c>
      <c r="F2349">
        <v>161</v>
      </c>
      <c r="G2349" s="1">
        <v>3000</v>
      </c>
      <c r="H2349" s="1">
        <v>3000</v>
      </c>
      <c r="I2349" s="1">
        <v>6000</v>
      </c>
      <c r="J2349" s="1">
        <v>2000</v>
      </c>
    </row>
    <row r="2350" spans="1:10" x14ac:dyDescent="0.3">
      <c r="A2350" t="s">
        <v>19</v>
      </c>
      <c r="B2350" t="s">
        <v>8</v>
      </c>
      <c r="C2350" t="s">
        <v>193</v>
      </c>
      <c r="D2350" t="s">
        <v>42</v>
      </c>
      <c r="E2350">
        <v>86</v>
      </c>
      <c r="F2350">
        <v>161</v>
      </c>
      <c r="G2350" s="1">
        <v>2000</v>
      </c>
      <c r="H2350" s="1">
        <v>2000</v>
      </c>
      <c r="I2350" s="1">
        <v>4800</v>
      </c>
      <c r="J2350" s="1">
        <v>2400</v>
      </c>
    </row>
    <row r="2351" spans="1:10" x14ac:dyDescent="0.3">
      <c r="A2351" t="s">
        <v>19</v>
      </c>
      <c r="B2351" t="s">
        <v>7</v>
      </c>
      <c r="C2351" t="s">
        <v>193</v>
      </c>
      <c r="D2351" t="s">
        <v>42</v>
      </c>
      <c r="E2351">
        <v>86</v>
      </c>
      <c r="F2351">
        <v>161</v>
      </c>
      <c r="G2351" s="1">
        <v>1000</v>
      </c>
      <c r="H2351" s="1">
        <v>1000</v>
      </c>
      <c r="I2351" s="1">
        <v>2500</v>
      </c>
      <c r="J2351" s="1">
        <v>2500</v>
      </c>
    </row>
    <row r="2352" spans="1:10" x14ac:dyDescent="0.3">
      <c r="A2352" t="s">
        <v>19</v>
      </c>
      <c r="B2352" t="s">
        <v>6</v>
      </c>
      <c r="C2352" t="s">
        <v>193</v>
      </c>
      <c r="D2352" t="s">
        <v>42</v>
      </c>
      <c r="E2352">
        <v>86</v>
      </c>
      <c r="F2352">
        <v>161</v>
      </c>
      <c r="G2352" s="1">
        <v>2200</v>
      </c>
      <c r="H2352" s="1">
        <v>2200</v>
      </c>
      <c r="I2352" s="1">
        <v>4360</v>
      </c>
      <c r="J2352" s="1">
        <v>1982</v>
      </c>
    </row>
    <row r="2353" spans="1:10" x14ac:dyDescent="0.3">
      <c r="A2353" t="s">
        <v>19</v>
      </c>
      <c r="B2353" t="s">
        <v>5</v>
      </c>
      <c r="C2353" t="s">
        <v>193</v>
      </c>
      <c r="D2353" t="s">
        <v>42</v>
      </c>
      <c r="E2353">
        <v>86</v>
      </c>
      <c r="F2353">
        <v>161</v>
      </c>
      <c r="G2353" s="1">
        <v>3200</v>
      </c>
      <c r="H2353" s="1">
        <v>3200</v>
      </c>
      <c r="I2353" s="1">
        <v>6200</v>
      </c>
      <c r="J2353" s="1">
        <v>1938</v>
      </c>
    </row>
    <row r="2354" spans="1:10" x14ac:dyDescent="0.3">
      <c r="A2354" t="s">
        <v>19</v>
      </c>
      <c r="B2354" t="s">
        <v>4</v>
      </c>
      <c r="C2354" t="s">
        <v>193</v>
      </c>
      <c r="D2354" t="s">
        <v>42</v>
      </c>
      <c r="E2354">
        <v>86</v>
      </c>
      <c r="F2354">
        <v>161</v>
      </c>
      <c r="G2354" s="1">
        <v>5000</v>
      </c>
      <c r="H2354" s="1">
        <v>5000</v>
      </c>
      <c r="I2354" s="1">
        <v>9700</v>
      </c>
      <c r="J2354" s="1">
        <v>1940</v>
      </c>
    </row>
    <row r="2355" spans="1:10" x14ac:dyDescent="0.3">
      <c r="A2355" t="s">
        <v>19</v>
      </c>
      <c r="B2355" t="s">
        <v>3</v>
      </c>
      <c r="C2355" t="s">
        <v>193</v>
      </c>
      <c r="D2355" t="s">
        <v>42</v>
      </c>
      <c r="E2355">
        <v>86</v>
      </c>
      <c r="F2355">
        <v>161</v>
      </c>
      <c r="G2355" s="1">
        <v>5000</v>
      </c>
      <c r="H2355" s="1">
        <v>4870</v>
      </c>
      <c r="I2355" s="1">
        <v>5357</v>
      </c>
      <c r="J2355" s="1">
        <v>1100</v>
      </c>
    </row>
    <row r="2356" spans="1:10" x14ac:dyDescent="0.3">
      <c r="A2356" t="s">
        <v>19</v>
      </c>
      <c r="B2356" t="s">
        <v>0</v>
      </c>
      <c r="C2356" t="s">
        <v>193</v>
      </c>
      <c r="D2356" t="s">
        <v>42</v>
      </c>
      <c r="E2356">
        <v>86</v>
      </c>
      <c r="F2356">
        <v>161</v>
      </c>
      <c r="G2356" s="1">
        <v>5000</v>
      </c>
      <c r="H2356" s="1">
        <v>4520</v>
      </c>
      <c r="I2356" s="1">
        <v>4068</v>
      </c>
      <c r="J2356" s="1">
        <v>900</v>
      </c>
    </row>
    <row r="2357" spans="1:10" x14ac:dyDescent="0.3">
      <c r="A2357" t="s">
        <v>19</v>
      </c>
      <c r="B2357" t="s">
        <v>7</v>
      </c>
      <c r="C2357" t="s">
        <v>193</v>
      </c>
      <c r="D2357" t="s">
        <v>52</v>
      </c>
      <c r="E2357">
        <v>86</v>
      </c>
      <c r="F2357">
        <v>175</v>
      </c>
      <c r="G2357" s="1">
        <v>10500</v>
      </c>
      <c r="H2357" s="1">
        <v>10500</v>
      </c>
      <c r="I2357" s="1">
        <v>21000</v>
      </c>
      <c r="J2357" s="1">
        <v>2000</v>
      </c>
    </row>
    <row r="2358" spans="1:10" x14ac:dyDescent="0.3">
      <c r="A2358" t="s">
        <v>19</v>
      </c>
      <c r="B2358" t="s">
        <v>6</v>
      </c>
      <c r="C2358" t="s">
        <v>193</v>
      </c>
      <c r="D2358" t="s">
        <v>52</v>
      </c>
      <c r="E2358">
        <v>86</v>
      </c>
      <c r="F2358">
        <v>175</v>
      </c>
      <c r="G2358" s="1">
        <v>6000</v>
      </c>
      <c r="H2358" s="1">
        <v>6000</v>
      </c>
      <c r="I2358" s="1">
        <v>12000</v>
      </c>
      <c r="J2358" s="1">
        <v>2000</v>
      </c>
    </row>
    <row r="2359" spans="1:10" x14ac:dyDescent="0.3">
      <c r="A2359" t="s">
        <v>19</v>
      </c>
      <c r="B2359" t="s">
        <v>5</v>
      </c>
      <c r="C2359" t="s">
        <v>193</v>
      </c>
      <c r="D2359" t="s">
        <v>52</v>
      </c>
      <c r="E2359">
        <v>86</v>
      </c>
      <c r="F2359">
        <v>175</v>
      </c>
      <c r="G2359" s="1">
        <v>10000</v>
      </c>
      <c r="H2359" s="1">
        <v>10000</v>
      </c>
      <c r="I2359" s="1">
        <v>15000</v>
      </c>
      <c r="J2359" s="1">
        <v>1500</v>
      </c>
    </row>
    <row r="2360" spans="1:10" x14ac:dyDescent="0.3">
      <c r="A2360" t="s">
        <v>19</v>
      </c>
      <c r="B2360" t="s">
        <v>4</v>
      </c>
      <c r="C2360" t="s">
        <v>193</v>
      </c>
      <c r="D2360" t="s">
        <v>52</v>
      </c>
      <c r="E2360">
        <v>86</v>
      </c>
      <c r="F2360">
        <v>175</v>
      </c>
      <c r="G2360" s="1">
        <v>10000</v>
      </c>
      <c r="H2360" s="1">
        <v>10000</v>
      </c>
      <c r="I2360" s="1">
        <v>20000</v>
      </c>
      <c r="J2360" s="1">
        <v>2000</v>
      </c>
    </row>
    <row r="2361" spans="1:10" x14ac:dyDescent="0.3">
      <c r="A2361" t="s">
        <v>19</v>
      </c>
      <c r="B2361" t="s">
        <v>3</v>
      </c>
      <c r="C2361" t="s">
        <v>193</v>
      </c>
      <c r="D2361" t="s">
        <v>52</v>
      </c>
      <c r="E2361">
        <v>86</v>
      </c>
      <c r="F2361">
        <v>175</v>
      </c>
      <c r="G2361" s="1">
        <v>10000</v>
      </c>
      <c r="H2361" s="1">
        <v>9850</v>
      </c>
      <c r="I2361" s="1">
        <v>10835</v>
      </c>
      <c r="J2361" s="1">
        <v>1100</v>
      </c>
    </row>
    <row r="2362" spans="1:10" x14ac:dyDescent="0.3">
      <c r="A2362" t="s">
        <v>19</v>
      </c>
      <c r="B2362" t="s">
        <v>0</v>
      </c>
      <c r="C2362" t="s">
        <v>193</v>
      </c>
      <c r="D2362" t="s">
        <v>52</v>
      </c>
      <c r="E2362">
        <v>86</v>
      </c>
      <c r="F2362">
        <v>175</v>
      </c>
      <c r="G2362" s="1">
        <v>10000</v>
      </c>
      <c r="H2362" s="1">
        <v>9600</v>
      </c>
      <c r="I2362" s="1">
        <v>8640</v>
      </c>
      <c r="J2362" s="1">
        <v>900</v>
      </c>
    </row>
    <row r="2363" spans="1:10" x14ac:dyDescent="0.3">
      <c r="A2363" t="s">
        <v>19</v>
      </c>
      <c r="B2363" t="s">
        <v>3</v>
      </c>
      <c r="C2363" t="s">
        <v>193</v>
      </c>
      <c r="D2363" t="s">
        <v>25</v>
      </c>
      <c r="E2363">
        <v>86</v>
      </c>
      <c r="F2363">
        <v>182</v>
      </c>
      <c r="G2363" s="1">
        <v>370</v>
      </c>
      <c r="H2363" s="1">
        <v>330</v>
      </c>
      <c r="I2363" s="1">
        <v>297</v>
      </c>
      <c r="J2363" s="1">
        <v>900</v>
      </c>
    </row>
    <row r="2364" spans="1:10" x14ac:dyDescent="0.3">
      <c r="A2364" t="s">
        <v>19</v>
      </c>
      <c r="B2364" t="s">
        <v>0</v>
      </c>
      <c r="C2364" t="s">
        <v>193</v>
      </c>
      <c r="D2364" t="s">
        <v>25</v>
      </c>
      <c r="E2364">
        <v>86</v>
      </c>
      <c r="F2364">
        <v>182</v>
      </c>
      <c r="G2364" s="1">
        <v>660</v>
      </c>
      <c r="H2364" s="1">
        <v>625</v>
      </c>
      <c r="I2364" s="1">
        <v>1063</v>
      </c>
      <c r="J2364" s="1">
        <v>1701</v>
      </c>
    </row>
    <row r="2365" spans="1:10" x14ac:dyDescent="0.3">
      <c r="A2365" t="s">
        <v>19</v>
      </c>
      <c r="B2365" t="s">
        <v>18</v>
      </c>
      <c r="C2365" t="s">
        <v>193</v>
      </c>
      <c r="D2365" t="s">
        <v>33</v>
      </c>
      <c r="E2365">
        <v>86</v>
      </c>
      <c r="F2365">
        <v>189</v>
      </c>
      <c r="G2365" s="1">
        <v>1000</v>
      </c>
      <c r="H2365" s="1">
        <v>600</v>
      </c>
      <c r="I2365" s="1">
        <v>720</v>
      </c>
      <c r="J2365" s="1">
        <v>1200</v>
      </c>
    </row>
    <row r="2366" spans="1:10" x14ac:dyDescent="0.3">
      <c r="A2366" t="s">
        <v>19</v>
      </c>
      <c r="B2366" t="s">
        <v>17</v>
      </c>
      <c r="C2366" t="s">
        <v>193</v>
      </c>
      <c r="D2366" t="s">
        <v>33</v>
      </c>
      <c r="E2366">
        <v>86</v>
      </c>
      <c r="F2366">
        <v>189</v>
      </c>
      <c r="G2366" s="1">
        <v>1000</v>
      </c>
      <c r="H2366" s="1">
        <v>1000</v>
      </c>
      <c r="I2366" s="1">
        <v>2000</v>
      </c>
      <c r="J2366" s="1">
        <v>2000</v>
      </c>
    </row>
    <row r="2367" spans="1:10" x14ac:dyDescent="0.3">
      <c r="A2367" t="s">
        <v>19</v>
      </c>
      <c r="B2367" t="s">
        <v>14</v>
      </c>
      <c r="C2367" t="s">
        <v>193</v>
      </c>
      <c r="D2367" t="s">
        <v>33</v>
      </c>
      <c r="E2367">
        <v>86</v>
      </c>
      <c r="F2367">
        <v>189</v>
      </c>
      <c r="G2367" s="1">
        <v>2000</v>
      </c>
      <c r="H2367" s="1">
        <v>1310</v>
      </c>
      <c r="I2367" s="1">
        <v>3537</v>
      </c>
      <c r="J2367" s="1">
        <v>2700</v>
      </c>
    </row>
    <row r="2368" spans="1:10" x14ac:dyDescent="0.3">
      <c r="A2368" t="s">
        <v>19</v>
      </c>
      <c r="B2368" t="s">
        <v>12</v>
      </c>
      <c r="C2368" t="s">
        <v>193</v>
      </c>
      <c r="D2368" t="s">
        <v>33</v>
      </c>
      <c r="E2368">
        <v>86</v>
      </c>
      <c r="F2368">
        <v>189</v>
      </c>
      <c r="G2368" s="1">
        <v>2500</v>
      </c>
      <c r="H2368" s="1">
        <v>2500</v>
      </c>
      <c r="I2368" s="1">
        <v>5000</v>
      </c>
      <c r="J2368" s="1">
        <v>2000</v>
      </c>
    </row>
    <row r="2369" spans="1:10" x14ac:dyDescent="0.3">
      <c r="A2369" t="s">
        <v>19</v>
      </c>
      <c r="B2369" t="s">
        <v>9</v>
      </c>
      <c r="C2369" t="s">
        <v>193</v>
      </c>
      <c r="D2369" t="s">
        <v>33</v>
      </c>
      <c r="E2369">
        <v>86</v>
      </c>
      <c r="F2369">
        <v>189</v>
      </c>
      <c r="G2369" s="1">
        <v>3000</v>
      </c>
      <c r="H2369" s="1">
        <v>3000</v>
      </c>
      <c r="I2369" s="1">
        <v>6000</v>
      </c>
      <c r="J2369" s="1">
        <v>2000</v>
      </c>
    </row>
    <row r="2370" spans="1:10" x14ac:dyDescent="0.3">
      <c r="A2370" t="s">
        <v>19</v>
      </c>
      <c r="B2370" t="s">
        <v>8</v>
      </c>
      <c r="C2370" t="s">
        <v>193</v>
      </c>
      <c r="D2370" t="s">
        <v>33</v>
      </c>
      <c r="E2370">
        <v>86</v>
      </c>
      <c r="F2370">
        <v>189</v>
      </c>
      <c r="G2370" s="1">
        <v>1500</v>
      </c>
      <c r="H2370" s="1">
        <v>1500</v>
      </c>
      <c r="I2370" s="1">
        <v>3600</v>
      </c>
      <c r="J2370" s="1">
        <v>2400</v>
      </c>
    </row>
    <row r="2371" spans="1:10" x14ac:dyDescent="0.3">
      <c r="A2371" t="s">
        <v>19</v>
      </c>
      <c r="B2371" t="s">
        <v>7</v>
      </c>
      <c r="C2371" t="s">
        <v>193</v>
      </c>
      <c r="D2371" t="s">
        <v>33</v>
      </c>
      <c r="E2371">
        <v>86</v>
      </c>
      <c r="F2371">
        <v>189</v>
      </c>
      <c r="G2371" s="1">
        <v>1500</v>
      </c>
      <c r="H2371" s="1">
        <v>1500</v>
      </c>
      <c r="I2371" s="1">
        <v>3000</v>
      </c>
      <c r="J2371" s="1">
        <v>2000</v>
      </c>
    </row>
    <row r="2372" spans="1:10" x14ac:dyDescent="0.3">
      <c r="A2372" t="s">
        <v>19</v>
      </c>
      <c r="B2372" t="s">
        <v>6</v>
      </c>
      <c r="C2372" t="s">
        <v>193</v>
      </c>
      <c r="D2372" t="s">
        <v>33</v>
      </c>
      <c r="E2372">
        <v>86</v>
      </c>
      <c r="F2372">
        <v>189</v>
      </c>
      <c r="G2372" s="1">
        <v>1500</v>
      </c>
      <c r="H2372" s="1">
        <v>1500</v>
      </c>
      <c r="I2372" s="1">
        <v>3300</v>
      </c>
      <c r="J2372" s="1">
        <v>2200</v>
      </c>
    </row>
    <row r="2373" spans="1:10" x14ac:dyDescent="0.3">
      <c r="A2373" t="s">
        <v>19</v>
      </c>
      <c r="B2373" t="s">
        <v>5</v>
      </c>
      <c r="C2373" t="s">
        <v>193</v>
      </c>
      <c r="D2373" t="s">
        <v>33</v>
      </c>
      <c r="E2373">
        <v>86</v>
      </c>
      <c r="F2373">
        <v>189</v>
      </c>
      <c r="G2373" s="1">
        <v>1500</v>
      </c>
      <c r="H2373" s="1">
        <v>1500</v>
      </c>
      <c r="I2373" s="1">
        <v>3000</v>
      </c>
      <c r="J2373" s="1">
        <v>2000</v>
      </c>
    </row>
    <row r="2374" spans="1:10" x14ac:dyDescent="0.3">
      <c r="A2374" t="s">
        <v>19</v>
      </c>
      <c r="B2374" t="s">
        <v>4</v>
      </c>
      <c r="C2374" t="s">
        <v>193</v>
      </c>
      <c r="D2374" t="s">
        <v>33</v>
      </c>
      <c r="E2374">
        <v>86</v>
      </c>
      <c r="F2374">
        <v>189</v>
      </c>
      <c r="G2374" s="1">
        <v>2000</v>
      </c>
      <c r="H2374" s="1">
        <v>2000</v>
      </c>
      <c r="I2374" s="1">
        <v>4300</v>
      </c>
      <c r="J2374" s="1">
        <v>2150</v>
      </c>
    </row>
    <row r="2375" spans="1:10" x14ac:dyDescent="0.3">
      <c r="A2375" t="s">
        <v>19</v>
      </c>
      <c r="B2375" t="s">
        <v>3</v>
      </c>
      <c r="C2375" t="s">
        <v>193</v>
      </c>
      <c r="D2375" t="s">
        <v>33</v>
      </c>
      <c r="E2375">
        <v>86</v>
      </c>
      <c r="F2375">
        <v>189</v>
      </c>
      <c r="G2375" s="1">
        <v>2000</v>
      </c>
      <c r="H2375" s="1">
        <v>1890</v>
      </c>
      <c r="I2375" s="1">
        <v>2079</v>
      </c>
      <c r="J2375" s="1">
        <v>1100</v>
      </c>
    </row>
    <row r="2376" spans="1:10" x14ac:dyDescent="0.3">
      <c r="A2376" t="s">
        <v>19</v>
      </c>
      <c r="B2376" t="s">
        <v>0</v>
      </c>
      <c r="C2376" t="s">
        <v>193</v>
      </c>
      <c r="D2376" t="s">
        <v>33</v>
      </c>
      <c r="E2376">
        <v>86</v>
      </c>
      <c r="F2376">
        <v>189</v>
      </c>
      <c r="G2376" s="1">
        <v>2000</v>
      </c>
      <c r="H2376" s="1">
        <v>1690</v>
      </c>
      <c r="I2376" s="1">
        <v>1521</v>
      </c>
      <c r="J2376" s="1">
        <v>900</v>
      </c>
    </row>
    <row r="2377" spans="1:10" x14ac:dyDescent="0.3">
      <c r="A2377" t="s">
        <v>121</v>
      </c>
      <c r="B2377" t="s">
        <v>18</v>
      </c>
      <c r="C2377" t="s">
        <v>193</v>
      </c>
      <c r="D2377" t="s">
        <v>192</v>
      </c>
      <c r="E2377">
        <v>86</v>
      </c>
      <c r="F2377">
        <v>0</v>
      </c>
      <c r="G2377" s="1">
        <v>130500</v>
      </c>
      <c r="H2377" s="1">
        <v>124200</v>
      </c>
      <c r="I2377" s="1">
        <v>326120</v>
      </c>
      <c r="J2377" s="1">
        <v>2626</v>
      </c>
    </row>
    <row r="2378" spans="1:10" x14ac:dyDescent="0.3">
      <c r="A2378" t="s">
        <v>121</v>
      </c>
      <c r="B2378" t="s">
        <v>17</v>
      </c>
      <c r="C2378" t="s">
        <v>193</v>
      </c>
      <c r="D2378" t="s">
        <v>192</v>
      </c>
      <c r="E2378">
        <v>86</v>
      </c>
      <c r="F2378">
        <v>0</v>
      </c>
      <c r="G2378" s="1">
        <v>136700</v>
      </c>
      <c r="H2378" s="1">
        <v>129700</v>
      </c>
      <c r="I2378" s="1">
        <v>292090</v>
      </c>
      <c r="J2378" s="1">
        <v>2252</v>
      </c>
    </row>
    <row r="2379" spans="1:10" x14ac:dyDescent="0.3">
      <c r="A2379" t="s">
        <v>121</v>
      </c>
      <c r="B2379" t="s">
        <v>14</v>
      </c>
      <c r="C2379" t="s">
        <v>193</v>
      </c>
      <c r="D2379" t="s">
        <v>192</v>
      </c>
      <c r="E2379">
        <v>86</v>
      </c>
      <c r="F2379">
        <v>0</v>
      </c>
      <c r="G2379" s="1">
        <v>115300</v>
      </c>
      <c r="H2379" s="1">
        <v>114120</v>
      </c>
      <c r="I2379" s="1">
        <v>330448</v>
      </c>
      <c r="J2379" s="1">
        <v>2896</v>
      </c>
    </row>
    <row r="2380" spans="1:10" x14ac:dyDescent="0.3">
      <c r="A2380" t="s">
        <v>121</v>
      </c>
      <c r="B2380" t="s">
        <v>12</v>
      </c>
      <c r="C2380" t="s">
        <v>193</v>
      </c>
      <c r="D2380" t="s">
        <v>192</v>
      </c>
      <c r="E2380">
        <v>86</v>
      </c>
      <c r="F2380">
        <v>0</v>
      </c>
      <c r="G2380" s="1">
        <v>130080</v>
      </c>
      <c r="H2380" s="1">
        <v>128230</v>
      </c>
      <c r="I2380" s="1">
        <v>394649</v>
      </c>
      <c r="J2380" s="1">
        <v>3078</v>
      </c>
    </row>
    <row r="2381" spans="1:10" x14ac:dyDescent="0.3">
      <c r="A2381" t="s">
        <v>121</v>
      </c>
      <c r="B2381" t="s">
        <v>9</v>
      </c>
      <c r="C2381" t="s">
        <v>193</v>
      </c>
      <c r="D2381" t="s">
        <v>192</v>
      </c>
      <c r="E2381">
        <v>86</v>
      </c>
      <c r="F2381">
        <v>0</v>
      </c>
      <c r="G2381" s="1">
        <v>182004</v>
      </c>
      <c r="H2381" s="1">
        <v>167694</v>
      </c>
      <c r="I2381" s="1">
        <v>551040</v>
      </c>
      <c r="J2381" s="1">
        <v>3286</v>
      </c>
    </row>
    <row r="2382" spans="1:10" x14ac:dyDescent="0.3">
      <c r="A2382" t="s">
        <v>121</v>
      </c>
      <c r="B2382" t="s">
        <v>8</v>
      </c>
      <c r="C2382" t="s">
        <v>193</v>
      </c>
      <c r="D2382" t="s">
        <v>192</v>
      </c>
      <c r="E2382">
        <v>86</v>
      </c>
      <c r="F2382">
        <v>0</v>
      </c>
      <c r="G2382" s="1">
        <v>190650</v>
      </c>
      <c r="H2382" s="1">
        <v>185150</v>
      </c>
      <c r="I2382" s="1">
        <v>555715</v>
      </c>
      <c r="J2382" s="1">
        <v>3001</v>
      </c>
    </row>
    <row r="2383" spans="1:10" x14ac:dyDescent="0.3">
      <c r="A2383" t="s">
        <v>121</v>
      </c>
      <c r="B2383" t="s">
        <v>7</v>
      </c>
      <c r="C2383" t="s">
        <v>193</v>
      </c>
      <c r="D2383" t="s">
        <v>192</v>
      </c>
      <c r="E2383">
        <v>86</v>
      </c>
      <c r="F2383">
        <v>0</v>
      </c>
      <c r="G2383" s="1">
        <v>174250</v>
      </c>
      <c r="H2383" s="1">
        <v>169450</v>
      </c>
      <c r="I2383" s="1">
        <v>500110</v>
      </c>
      <c r="J2383" s="1">
        <v>2951</v>
      </c>
    </row>
    <row r="2384" spans="1:10" x14ac:dyDescent="0.3">
      <c r="A2384" t="s">
        <v>121</v>
      </c>
      <c r="B2384" t="s">
        <v>6</v>
      </c>
      <c r="C2384" t="s">
        <v>193</v>
      </c>
      <c r="D2384" t="s">
        <v>192</v>
      </c>
      <c r="E2384">
        <v>86</v>
      </c>
      <c r="F2384">
        <v>0</v>
      </c>
      <c r="G2384" s="1">
        <v>225800</v>
      </c>
      <c r="H2384" s="1">
        <v>223520</v>
      </c>
      <c r="I2384" s="1">
        <v>642082</v>
      </c>
      <c r="J2384" s="1">
        <v>2873</v>
      </c>
    </row>
    <row r="2385" spans="1:10" x14ac:dyDescent="0.3">
      <c r="A2385" t="s">
        <v>121</v>
      </c>
      <c r="B2385" t="s">
        <v>5</v>
      </c>
      <c r="C2385" t="s">
        <v>193</v>
      </c>
      <c r="D2385" t="s">
        <v>192</v>
      </c>
      <c r="E2385">
        <v>86</v>
      </c>
      <c r="F2385">
        <v>0</v>
      </c>
      <c r="G2385" s="1">
        <v>183750</v>
      </c>
      <c r="H2385" s="1">
        <v>175500</v>
      </c>
      <c r="I2385" s="1">
        <v>339228</v>
      </c>
      <c r="J2385" s="1">
        <v>1933</v>
      </c>
    </row>
    <row r="2386" spans="1:10" x14ac:dyDescent="0.3">
      <c r="A2386" t="s">
        <v>121</v>
      </c>
      <c r="B2386" t="s">
        <v>4</v>
      </c>
      <c r="C2386" t="s">
        <v>193</v>
      </c>
      <c r="D2386" t="s">
        <v>192</v>
      </c>
      <c r="E2386">
        <v>86</v>
      </c>
      <c r="F2386">
        <v>0</v>
      </c>
      <c r="G2386" s="1">
        <v>233900</v>
      </c>
      <c r="H2386" s="1">
        <v>232773</v>
      </c>
      <c r="I2386" s="1">
        <v>595011</v>
      </c>
      <c r="J2386" s="1">
        <v>2556</v>
      </c>
    </row>
    <row r="2387" spans="1:10" x14ac:dyDescent="0.3">
      <c r="A2387" t="s">
        <v>121</v>
      </c>
      <c r="B2387" t="s">
        <v>3</v>
      </c>
      <c r="C2387" t="s">
        <v>193</v>
      </c>
      <c r="D2387" t="s">
        <v>192</v>
      </c>
      <c r="E2387">
        <v>86</v>
      </c>
      <c r="F2387">
        <v>0</v>
      </c>
      <c r="G2387" s="1">
        <v>232900</v>
      </c>
      <c r="H2387" s="1">
        <v>217700</v>
      </c>
      <c r="I2387" s="1">
        <v>440033</v>
      </c>
      <c r="J2387" s="1">
        <v>2021</v>
      </c>
    </row>
    <row r="2388" spans="1:10" x14ac:dyDescent="0.3">
      <c r="A2388" t="s">
        <v>16</v>
      </c>
      <c r="B2388" t="s">
        <v>18</v>
      </c>
      <c r="C2388" t="s">
        <v>193</v>
      </c>
      <c r="D2388" t="s">
        <v>192</v>
      </c>
      <c r="E2388">
        <v>86</v>
      </c>
      <c r="F2388">
        <v>0</v>
      </c>
      <c r="G2388" s="1">
        <v>6500</v>
      </c>
      <c r="H2388" s="1">
        <v>600</v>
      </c>
      <c r="I2388" s="1">
        <v>720</v>
      </c>
      <c r="J2388" s="1">
        <v>1200</v>
      </c>
    </row>
    <row r="2389" spans="1:10" x14ac:dyDescent="0.3">
      <c r="A2389" t="s">
        <v>16</v>
      </c>
      <c r="B2389" t="s">
        <v>17</v>
      </c>
      <c r="C2389" t="s">
        <v>193</v>
      </c>
      <c r="D2389" t="s">
        <v>192</v>
      </c>
      <c r="E2389">
        <v>86</v>
      </c>
      <c r="F2389">
        <v>0</v>
      </c>
      <c r="G2389" s="1">
        <v>4600</v>
      </c>
      <c r="H2389" s="1">
        <v>400</v>
      </c>
      <c r="I2389" s="1">
        <v>400</v>
      </c>
      <c r="J2389" s="1">
        <v>1000</v>
      </c>
    </row>
    <row r="2390" spans="1:10" x14ac:dyDescent="0.3">
      <c r="A2390" t="s">
        <v>16</v>
      </c>
      <c r="B2390" t="s">
        <v>12</v>
      </c>
      <c r="C2390" t="s">
        <v>193</v>
      </c>
      <c r="D2390" t="s">
        <v>192</v>
      </c>
      <c r="E2390">
        <v>86</v>
      </c>
      <c r="F2390">
        <v>0</v>
      </c>
      <c r="G2390" s="1">
        <v>8700</v>
      </c>
      <c r="H2390" s="1">
        <v>0</v>
      </c>
      <c r="I2390" s="1">
        <v>0</v>
      </c>
      <c r="J2390" s="1">
        <v>0</v>
      </c>
    </row>
    <row r="2391" spans="1:10" x14ac:dyDescent="0.3">
      <c r="A2391" t="s">
        <v>16</v>
      </c>
      <c r="B2391" t="s">
        <v>9</v>
      </c>
      <c r="C2391" t="s">
        <v>193</v>
      </c>
      <c r="D2391" t="s">
        <v>192</v>
      </c>
      <c r="E2391">
        <v>86</v>
      </c>
      <c r="F2391">
        <v>0</v>
      </c>
      <c r="G2391" s="1">
        <v>9300</v>
      </c>
      <c r="H2391" s="1">
        <v>200</v>
      </c>
      <c r="I2391" s="1">
        <v>200</v>
      </c>
      <c r="J2391" s="1">
        <v>1000</v>
      </c>
    </row>
    <row r="2392" spans="1:10" x14ac:dyDescent="0.3">
      <c r="A2392" t="s">
        <v>16</v>
      </c>
      <c r="B2392" t="s">
        <v>8</v>
      </c>
      <c r="C2392" t="s">
        <v>193</v>
      </c>
      <c r="D2392" t="s">
        <v>192</v>
      </c>
      <c r="E2392">
        <v>86</v>
      </c>
      <c r="F2392">
        <v>0</v>
      </c>
      <c r="G2392" s="1">
        <v>9700</v>
      </c>
      <c r="H2392" s="1">
        <v>970</v>
      </c>
      <c r="I2392" s="1">
        <v>1435</v>
      </c>
      <c r="J2392" s="1">
        <v>1479</v>
      </c>
    </row>
    <row r="2393" spans="1:10" x14ac:dyDescent="0.3">
      <c r="A2393" t="s">
        <v>16</v>
      </c>
      <c r="B2393" t="s">
        <v>7</v>
      </c>
      <c r="C2393" t="s">
        <v>193</v>
      </c>
      <c r="D2393" t="s">
        <v>192</v>
      </c>
      <c r="E2393">
        <v>86</v>
      </c>
      <c r="F2393">
        <v>0</v>
      </c>
      <c r="G2393" s="1">
        <v>10850</v>
      </c>
      <c r="H2393" s="1">
        <v>980</v>
      </c>
      <c r="I2393" s="1">
        <v>485</v>
      </c>
      <c r="J2393" s="1">
        <v>495</v>
      </c>
    </row>
    <row r="2394" spans="1:10" x14ac:dyDescent="0.3">
      <c r="A2394" t="s">
        <v>16</v>
      </c>
      <c r="B2394" t="s">
        <v>6</v>
      </c>
      <c r="C2394" t="s">
        <v>193</v>
      </c>
      <c r="D2394" t="s">
        <v>192</v>
      </c>
      <c r="E2394">
        <v>86</v>
      </c>
      <c r="F2394">
        <v>0</v>
      </c>
      <c r="G2394" s="1">
        <v>15670</v>
      </c>
      <c r="H2394" s="1">
        <v>2050</v>
      </c>
      <c r="I2394" s="1">
        <v>2710</v>
      </c>
      <c r="J2394" s="1">
        <v>1322</v>
      </c>
    </row>
    <row r="2395" spans="1:10" x14ac:dyDescent="0.3">
      <c r="A2395" t="s">
        <v>16</v>
      </c>
      <c r="B2395" t="s">
        <v>5</v>
      </c>
      <c r="C2395" t="s">
        <v>193</v>
      </c>
      <c r="D2395" t="s">
        <v>192</v>
      </c>
      <c r="E2395">
        <v>86</v>
      </c>
      <c r="F2395">
        <v>0</v>
      </c>
      <c r="G2395" s="1">
        <v>16000</v>
      </c>
      <c r="H2395" s="1">
        <v>500</v>
      </c>
      <c r="I2395" s="1">
        <v>850</v>
      </c>
      <c r="J2395" s="1">
        <v>1700</v>
      </c>
    </row>
    <row r="2396" spans="1:10" x14ac:dyDescent="0.3">
      <c r="A2396" t="s">
        <v>16</v>
      </c>
      <c r="B2396" t="s">
        <v>4</v>
      </c>
      <c r="C2396" t="s">
        <v>193</v>
      </c>
      <c r="D2396" t="s">
        <v>192</v>
      </c>
      <c r="E2396">
        <v>86</v>
      </c>
      <c r="F2396">
        <v>0</v>
      </c>
      <c r="G2396" s="1">
        <v>15500</v>
      </c>
      <c r="H2396" s="1">
        <v>2970</v>
      </c>
      <c r="I2396" s="1">
        <v>3320</v>
      </c>
      <c r="J2396" s="1">
        <v>1118</v>
      </c>
    </row>
    <row r="2397" spans="1:10" x14ac:dyDescent="0.3">
      <c r="A2397" t="s">
        <v>16</v>
      </c>
      <c r="B2397" t="s">
        <v>3</v>
      </c>
      <c r="C2397" t="s">
        <v>193</v>
      </c>
      <c r="D2397" t="s">
        <v>192</v>
      </c>
      <c r="E2397">
        <v>86</v>
      </c>
      <c r="F2397">
        <v>0</v>
      </c>
      <c r="G2397" s="1">
        <v>15460</v>
      </c>
      <c r="H2397" s="1">
        <v>1650</v>
      </c>
      <c r="I2397" s="1">
        <v>1305</v>
      </c>
      <c r="J2397" s="1">
        <v>791</v>
      </c>
    </row>
    <row r="2398" spans="1:10" x14ac:dyDescent="0.3">
      <c r="A2398" t="s">
        <v>16</v>
      </c>
      <c r="B2398" t="s">
        <v>0</v>
      </c>
      <c r="C2398" t="s">
        <v>193</v>
      </c>
      <c r="D2398" t="s">
        <v>192</v>
      </c>
      <c r="E2398">
        <v>86</v>
      </c>
      <c r="F2398">
        <v>0</v>
      </c>
      <c r="G2398" s="1">
        <v>18101</v>
      </c>
      <c r="H2398" s="1">
        <v>5951</v>
      </c>
      <c r="I2398" s="1">
        <v>8994</v>
      </c>
      <c r="J2398" s="1">
        <v>1511</v>
      </c>
    </row>
    <row r="2399" spans="1:10" x14ac:dyDescent="0.3">
      <c r="A2399" t="s">
        <v>15</v>
      </c>
      <c r="B2399" t="s">
        <v>9</v>
      </c>
      <c r="C2399" t="s">
        <v>193</v>
      </c>
      <c r="D2399" t="s">
        <v>192</v>
      </c>
      <c r="E2399">
        <v>86</v>
      </c>
      <c r="F2399">
        <v>0</v>
      </c>
      <c r="G2399" s="1">
        <v>1300</v>
      </c>
      <c r="H2399" s="1">
        <v>1300</v>
      </c>
      <c r="I2399" s="1">
        <v>2450</v>
      </c>
      <c r="J2399" s="1">
        <v>1885</v>
      </c>
    </row>
    <row r="2400" spans="1:10" x14ac:dyDescent="0.3">
      <c r="A2400" t="s">
        <v>15</v>
      </c>
      <c r="B2400" t="s">
        <v>3</v>
      </c>
      <c r="C2400" t="s">
        <v>193</v>
      </c>
      <c r="D2400" t="s">
        <v>192</v>
      </c>
      <c r="E2400">
        <v>86</v>
      </c>
      <c r="F2400">
        <v>0</v>
      </c>
      <c r="G2400" s="1">
        <v>1086</v>
      </c>
      <c r="H2400" s="1">
        <v>1086</v>
      </c>
      <c r="I2400" s="1">
        <v>1195</v>
      </c>
      <c r="J2400" s="1">
        <v>1100</v>
      </c>
    </row>
    <row r="2401" spans="1:10" x14ac:dyDescent="0.3">
      <c r="A2401" t="s">
        <v>15</v>
      </c>
      <c r="B2401" t="s">
        <v>0</v>
      </c>
      <c r="C2401" t="s">
        <v>193</v>
      </c>
      <c r="D2401" t="s">
        <v>192</v>
      </c>
      <c r="E2401">
        <v>86</v>
      </c>
      <c r="F2401">
        <v>0</v>
      </c>
      <c r="G2401" s="1">
        <v>6515</v>
      </c>
      <c r="H2401" s="1">
        <v>6515</v>
      </c>
      <c r="I2401" s="1">
        <v>11046</v>
      </c>
      <c r="J2401" s="1">
        <v>1695</v>
      </c>
    </row>
    <row r="2402" spans="1:10" x14ac:dyDescent="0.3">
      <c r="A2402" t="s">
        <v>13</v>
      </c>
      <c r="B2402" t="s">
        <v>14</v>
      </c>
      <c r="C2402" t="s">
        <v>193</v>
      </c>
      <c r="D2402" t="s">
        <v>192</v>
      </c>
      <c r="E2402">
        <v>86</v>
      </c>
      <c r="F2402">
        <v>0</v>
      </c>
      <c r="G2402" s="1">
        <v>6166</v>
      </c>
      <c r="H2402" s="1">
        <v>0</v>
      </c>
      <c r="I2402" s="1">
        <v>0</v>
      </c>
      <c r="J2402" s="1">
        <v>0</v>
      </c>
    </row>
    <row r="2403" spans="1:10" x14ac:dyDescent="0.3">
      <c r="A2403" t="s">
        <v>13</v>
      </c>
      <c r="B2403" t="s">
        <v>12</v>
      </c>
      <c r="C2403" t="s">
        <v>193</v>
      </c>
      <c r="D2403" t="s">
        <v>192</v>
      </c>
      <c r="E2403">
        <v>86</v>
      </c>
      <c r="F2403">
        <v>0</v>
      </c>
      <c r="G2403" s="1">
        <v>13370</v>
      </c>
      <c r="H2403" s="1">
        <v>6570</v>
      </c>
      <c r="I2403" s="1">
        <v>10569</v>
      </c>
      <c r="J2403" s="1">
        <v>1609</v>
      </c>
    </row>
    <row r="2404" spans="1:10" x14ac:dyDescent="0.3">
      <c r="A2404" t="s">
        <v>13</v>
      </c>
      <c r="B2404" t="s">
        <v>9</v>
      </c>
      <c r="C2404" t="s">
        <v>193</v>
      </c>
      <c r="D2404" t="s">
        <v>192</v>
      </c>
      <c r="E2404">
        <v>86</v>
      </c>
      <c r="F2404">
        <v>0</v>
      </c>
      <c r="G2404" s="1">
        <v>12900</v>
      </c>
      <c r="H2404" s="1">
        <v>8500</v>
      </c>
      <c r="I2404" s="1">
        <v>15300</v>
      </c>
      <c r="J2404" s="1">
        <v>1800</v>
      </c>
    </row>
    <row r="2405" spans="1:10" x14ac:dyDescent="0.3">
      <c r="A2405" t="s">
        <v>13</v>
      </c>
      <c r="B2405" t="s">
        <v>8</v>
      </c>
      <c r="C2405" t="s">
        <v>193</v>
      </c>
      <c r="D2405" t="s">
        <v>192</v>
      </c>
      <c r="E2405">
        <v>86</v>
      </c>
      <c r="F2405">
        <v>0</v>
      </c>
      <c r="G2405" s="1">
        <v>12200</v>
      </c>
      <c r="H2405" s="1">
        <v>12200</v>
      </c>
      <c r="I2405" s="1">
        <v>23890</v>
      </c>
      <c r="J2405" s="1">
        <v>1958</v>
      </c>
    </row>
    <row r="2406" spans="1:10" x14ac:dyDescent="0.3">
      <c r="A2406" t="s">
        <v>13</v>
      </c>
      <c r="B2406" t="s">
        <v>7</v>
      </c>
      <c r="C2406" t="s">
        <v>193</v>
      </c>
      <c r="D2406" t="s">
        <v>192</v>
      </c>
      <c r="E2406">
        <v>86</v>
      </c>
      <c r="F2406">
        <v>0</v>
      </c>
      <c r="G2406" s="1">
        <v>15220</v>
      </c>
      <c r="H2406" s="1">
        <v>13980</v>
      </c>
      <c r="I2406" s="1">
        <v>20035</v>
      </c>
      <c r="J2406" s="1">
        <v>1433</v>
      </c>
    </row>
    <row r="2407" spans="1:10" x14ac:dyDescent="0.3">
      <c r="A2407" t="s">
        <v>13</v>
      </c>
      <c r="B2407" t="s">
        <v>6</v>
      </c>
      <c r="C2407" t="s">
        <v>193</v>
      </c>
      <c r="D2407" t="s">
        <v>192</v>
      </c>
      <c r="E2407">
        <v>86</v>
      </c>
      <c r="F2407">
        <v>0</v>
      </c>
      <c r="G2407" s="1">
        <v>20640</v>
      </c>
      <c r="H2407" s="1">
        <v>18820</v>
      </c>
      <c r="I2407" s="1">
        <v>32284</v>
      </c>
      <c r="J2407" s="1">
        <v>1715</v>
      </c>
    </row>
    <row r="2408" spans="1:10" x14ac:dyDescent="0.3">
      <c r="A2408" t="s">
        <v>13</v>
      </c>
      <c r="B2408" t="s">
        <v>5</v>
      </c>
      <c r="C2408" t="s">
        <v>193</v>
      </c>
      <c r="D2408" t="s">
        <v>192</v>
      </c>
      <c r="E2408">
        <v>86</v>
      </c>
      <c r="F2408">
        <v>0</v>
      </c>
      <c r="G2408" s="1">
        <v>20700</v>
      </c>
      <c r="H2408" s="1">
        <v>17540</v>
      </c>
      <c r="I2408" s="1">
        <v>19586</v>
      </c>
      <c r="J2408" s="1">
        <v>1117</v>
      </c>
    </row>
    <row r="2409" spans="1:10" x14ac:dyDescent="0.3">
      <c r="A2409" t="s">
        <v>13</v>
      </c>
      <c r="B2409" t="s">
        <v>4</v>
      </c>
      <c r="C2409" t="s">
        <v>193</v>
      </c>
      <c r="D2409" t="s">
        <v>192</v>
      </c>
      <c r="E2409">
        <v>86</v>
      </c>
      <c r="F2409">
        <v>0</v>
      </c>
      <c r="G2409" s="1">
        <v>21390</v>
      </c>
      <c r="H2409" s="1">
        <v>19440</v>
      </c>
      <c r="I2409" s="1">
        <v>27448</v>
      </c>
      <c r="J2409" s="1">
        <v>1412</v>
      </c>
    </row>
    <row r="2410" spans="1:10" x14ac:dyDescent="0.3">
      <c r="A2410" t="s">
        <v>13</v>
      </c>
      <c r="B2410" t="s">
        <v>3</v>
      </c>
      <c r="C2410" t="s">
        <v>193</v>
      </c>
      <c r="D2410" t="s">
        <v>192</v>
      </c>
      <c r="E2410">
        <v>86</v>
      </c>
      <c r="F2410">
        <v>0</v>
      </c>
      <c r="G2410" s="1">
        <v>21390</v>
      </c>
      <c r="H2410" s="1">
        <v>19519</v>
      </c>
      <c r="I2410" s="1">
        <v>15334</v>
      </c>
      <c r="J2410" s="1">
        <v>786</v>
      </c>
    </row>
    <row r="2411" spans="1:10" x14ac:dyDescent="0.3">
      <c r="A2411" t="s">
        <v>13</v>
      </c>
      <c r="B2411" t="s">
        <v>0</v>
      </c>
      <c r="C2411" t="s">
        <v>193</v>
      </c>
      <c r="D2411" t="s">
        <v>192</v>
      </c>
      <c r="E2411">
        <v>86</v>
      </c>
      <c r="F2411">
        <v>0</v>
      </c>
      <c r="G2411" s="1">
        <v>17050</v>
      </c>
      <c r="H2411" s="1">
        <v>5980</v>
      </c>
      <c r="I2411" s="1">
        <v>7924</v>
      </c>
      <c r="J2411" s="1">
        <v>1325</v>
      </c>
    </row>
    <row r="2412" spans="1:10" x14ac:dyDescent="0.3">
      <c r="A2412" t="s">
        <v>11</v>
      </c>
      <c r="B2412" t="s">
        <v>12</v>
      </c>
      <c r="C2412" t="s">
        <v>193</v>
      </c>
      <c r="D2412" t="s">
        <v>192</v>
      </c>
      <c r="E2412">
        <v>86</v>
      </c>
      <c r="F2412">
        <v>0</v>
      </c>
      <c r="G2412" s="1">
        <v>700</v>
      </c>
      <c r="H2412" s="1">
        <v>0</v>
      </c>
      <c r="I2412" s="1">
        <v>0</v>
      </c>
      <c r="J2412" s="1">
        <v>0</v>
      </c>
    </row>
    <row r="2413" spans="1:10" x14ac:dyDescent="0.3">
      <c r="A2413" t="s">
        <v>11</v>
      </c>
      <c r="B2413" t="s">
        <v>9</v>
      </c>
      <c r="C2413" t="s">
        <v>193</v>
      </c>
      <c r="D2413" t="s">
        <v>192</v>
      </c>
      <c r="E2413">
        <v>86</v>
      </c>
      <c r="F2413">
        <v>0</v>
      </c>
      <c r="G2413" s="1">
        <v>1900</v>
      </c>
      <c r="H2413" s="1">
        <v>0</v>
      </c>
      <c r="I2413" s="1">
        <v>0</v>
      </c>
      <c r="J2413" s="1">
        <v>0</v>
      </c>
    </row>
    <row r="2414" spans="1:10" x14ac:dyDescent="0.3">
      <c r="A2414" t="s">
        <v>11</v>
      </c>
      <c r="B2414" t="s">
        <v>8</v>
      </c>
      <c r="C2414" t="s">
        <v>193</v>
      </c>
      <c r="D2414" t="s">
        <v>192</v>
      </c>
      <c r="E2414">
        <v>86</v>
      </c>
      <c r="F2414">
        <v>0</v>
      </c>
      <c r="G2414" s="1">
        <v>14400</v>
      </c>
      <c r="H2414" s="1">
        <v>0</v>
      </c>
      <c r="I2414" s="1">
        <v>0</v>
      </c>
      <c r="J2414" s="1">
        <v>0</v>
      </c>
    </row>
    <row r="2415" spans="1:10" x14ac:dyDescent="0.3">
      <c r="A2415" t="s">
        <v>11</v>
      </c>
      <c r="B2415" t="s">
        <v>7</v>
      </c>
      <c r="C2415" t="s">
        <v>193</v>
      </c>
      <c r="D2415" t="s">
        <v>192</v>
      </c>
      <c r="E2415">
        <v>86</v>
      </c>
      <c r="F2415">
        <v>0</v>
      </c>
      <c r="G2415" s="1">
        <v>22370</v>
      </c>
      <c r="H2415" s="1">
        <v>5050</v>
      </c>
      <c r="I2415" s="1">
        <v>8505</v>
      </c>
      <c r="J2415" s="1">
        <v>1684</v>
      </c>
    </row>
    <row r="2416" spans="1:10" x14ac:dyDescent="0.3">
      <c r="A2416" t="s">
        <v>11</v>
      </c>
      <c r="B2416" t="s">
        <v>6</v>
      </c>
      <c r="C2416" t="s">
        <v>193</v>
      </c>
      <c r="D2416" t="s">
        <v>192</v>
      </c>
      <c r="E2416">
        <v>86</v>
      </c>
      <c r="F2416">
        <v>0</v>
      </c>
      <c r="G2416" s="1">
        <v>35910</v>
      </c>
      <c r="H2416" s="1">
        <v>5150</v>
      </c>
      <c r="I2416" s="1">
        <v>9270</v>
      </c>
      <c r="J2416" s="1">
        <v>1800</v>
      </c>
    </row>
    <row r="2417" spans="1:10" x14ac:dyDescent="0.3">
      <c r="A2417" t="s">
        <v>11</v>
      </c>
      <c r="B2417" t="s">
        <v>5</v>
      </c>
      <c r="C2417" t="s">
        <v>193</v>
      </c>
      <c r="D2417" t="s">
        <v>192</v>
      </c>
      <c r="E2417">
        <v>86</v>
      </c>
      <c r="F2417">
        <v>0</v>
      </c>
      <c r="G2417" s="1">
        <v>29600</v>
      </c>
      <c r="H2417" s="1">
        <v>2800</v>
      </c>
      <c r="I2417" s="1">
        <v>3740</v>
      </c>
      <c r="J2417" s="1">
        <v>1336</v>
      </c>
    </row>
    <row r="2418" spans="1:10" x14ac:dyDescent="0.3">
      <c r="A2418" t="s">
        <v>11</v>
      </c>
      <c r="B2418" t="s">
        <v>4</v>
      </c>
      <c r="C2418" t="s">
        <v>193</v>
      </c>
      <c r="D2418" t="s">
        <v>192</v>
      </c>
      <c r="E2418">
        <v>86</v>
      </c>
      <c r="F2418">
        <v>0</v>
      </c>
      <c r="G2418" s="1">
        <v>30000</v>
      </c>
      <c r="H2418" s="1">
        <v>4230</v>
      </c>
      <c r="I2418" s="1">
        <v>6830</v>
      </c>
      <c r="J2418" s="1">
        <v>1615</v>
      </c>
    </row>
    <row r="2419" spans="1:10" x14ac:dyDescent="0.3">
      <c r="A2419" t="s">
        <v>11</v>
      </c>
      <c r="B2419" t="s">
        <v>3</v>
      </c>
      <c r="C2419" t="s">
        <v>193</v>
      </c>
      <c r="D2419" t="s">
        <v>192</v>
      </c>
      <c r="E2419">
        <v>86</v>
      </c>
      <c r="F2419">
        <v>0</v>
      </c>
      <c r="G2419" s="1">
        <v>34230</v>
      </c>
      <c r="H2419" s="1">
        <v>5205</v>
      </c>
      <c r="I2419" s="1">
        <v>4079</v>
      </c>
      <c r="J2419" s="1">
        <v>784</v>
      </c>
    </row>
    <row r="2420" spans="1:10" x14ac:dyDescent="0.3">
      <c r="A2420" t="s">
        <v>11</v>
      </c>
      <c r="B2420" t="s">
        <v>0</v>
      </c>
      <c r="C2420" t="s">
        <v>193</v>
      </c>
      <c r="D2420" t="s">
        <v>192</v>
      </c>
      <c r="E2420">
        <v>86</v>
      </c>
      <c r="F2420">
        <v>0</v>
      </c>
      <c r="G2420" s="1">
        <v>38169</v>
      </c>
      <c r="H2420" s="1">
        <v>15919</v>
      </c>
      <c r="I2420" s="1">
        <v>25402</v>
      </c>
      <c r="J2420" s="1">
        <v>1596</v>
      </c>
    </row>
    <row r="2421" spans="1:10" x14ac:dyDescent="0.3">
      <c r="A2421" t="s">
        <v>10</v>
      </c>
      <c r="B2421" t="s">
        <v>4</v>
      </c>
      <c r="C2421" t="s">
        <v>193</v>
      </c>
      <c r="D2421" t="s">
        <v>192</v>
      </c>
      <c r="E2421">
        <v>86</v>
      </c>
      <c r="F2421">
        <v>0</v>
      </c>
      <c r="G2421" s="1">
        <v>1500</v>
      </c>
      <c r="H2421" s="1">
        <v>1000</v>
      </c>
      <c r="I2421" s="1">
        <v>1050</v>
      </c>
      <c r="J2421" s="1">
        <v>1050</v>
      </c>
    </row>
    <row r="2422" spans="1:10" x14ac:dyDescent="0.3">
      <c r="A2422" t="s">
        <v>10</v>
      </c>
      <c r="B2422" t="s">
        <v>3</v>
      </c>
      <c r="C2422" t="s">
        <v>193</v>
      </c>
      <c r="D2422" t="s">
        <v>192</v>
      </c>
      <c r="E2422">
        <v>86</v>
      </c>
      <c r="F2422">
        <v>0</v>
      </c>
      <c r="G2422" s="1">
        <v>1500</v>
      </c>
      <c r="H2422" s="1">
        <v>1440</v>
      </c>
      <c r="I2422" s="1">
        <v>1199</v>
      </c>
      <c r="J2422" s="1">
        <v>832</v>
      </c>
    </row>
    <row r="2423" spans="1:10" x14ac:dyDescent="0.3">
      <c r="A2423" t="s">
        <v>10</v>
      </c>
      <c r="B2423" t="s">
        <v>0</v>
      </c>
      <c r="C2423" t="s">
        <v>193</v>
      </c>
      <c r="D2423" t="s">
        <v>192</v>
      </c>
      <c r="E2423">
        <v>86</v>
      </c>
      <c r="F2423">
        <v>0</v>
      </c>
      <c r="G2423" s="1">
        <v>1500</v>
      </c>
      <c r="H2423" s="1">
        <v>1370</v>
      </c>
      <c r="I2423" s="1">
        <v>1324</v>
      </c>
      <c r="J2423" s="1">
        <v>966</v>
      </c>
    </row>
    <row r="2424" spans="1:10" x14ac:dyDescent="0.3">
      <c r="A2424" t="s">
        <v>1</v>
      </c>
      <c r="B2424" t="s">
        <v>9</v>
      </c>
      <c r="C2424" t="s">
        <v>193</v>
      </c>
      <c r="D2424" t="s">
        <v>192</v>
      </c>
      <c r="E2424">
        <v>86</v>
      </c>
      <c r="F2424">
        <v>0</v>
      </c>
      <c r="G2424" s="1">
        <v>6000</v>
      </c>
      <c r="H2424" s="1">
        <v>6000</v>
      </c>
      <c r="I2424" s="1">
        <v>10500</v>
      </c>
      <c r="J2424" s="1">
        <v>1750</v>
      </c>
    </row>
    <row r="2425" spans="1:10" x14ac:dyDescent="0.3">
      <c r="A2425" t="s">
        <v>1</v>
      </c>
      <c r="B2425" t="s">
        <v>8</v>
      </c>
      <c r="C2425" t="s">
        <v>193</v>
      </c>
      <c r="D2425" t="s">
        <v>192</v>
      </c>
      <c r="E2425">
        <v>86</v>
      </c>
      <c r="F2425">
        <v>0</v>
      </c>
      <c r="G2425" s="1">
        <v>21680</v>
      </c>
      <c r="H2425" s="1">
        <v>21680</v>
      </c>
      <c r="I2425" s="1">
        <v>39688</v>
      </c>
      <c r="J2425" s="1">
        <v>1831</v>
      </c>
    </row>
    <row r="2426" spans="1:10" x14ac:dyDescent="0.3">
      <c r="A2426" t="s">
        <v>1</v>
      </c>
      <c r="B2426" t="s">
        <v>7</v>
      </c>
      <c r="C2426" t="s">
        <v>193</v>
      </c>
      <c r="D2426" t="s">
        <v>192</v>
      </c>
      <c r="E2426">
        <v>86</v>
      </c>
      <c r="F2426">
        <v>0</v>
      </c>
      <c r="G2426" s="1">
        <v>7650</v>
      </c>
      <c r="H2426" s="1">
        <v>7200</v>
      </c>
      <c r="I2426" s="1">
        <v>12615</v>
      </c>
      <c r="J2426" s="1">
        <v>1752</v>
      </c>
    </row>
    <row r="2427" spans="1:10" x14ac:dyDescent="0.3">
      <c r="A2427" t="s">
        <v>1</v>
      </c>
      <c r="B2427" t="s">
        <v>6</v>
      </c>
      <c r="C2427" t="s">
        <v>193</v>
      </c>
      <c r="D2427" t="s">
        <v>192</v>
      </c>
      <c r="E2427">
        <v>86</v>
      </c>
      <c r="F2427">
        <v>0</v>
      </c>
      <c r="G2427" s="1">
        <v>14850</v>
      </c>
      <c r="H2427" s="1">
        <v>14190</v>
      </c>
      <c r="I2427" s="1">
        <v>24766</v>
      </c>
      <c r="J2427" s="1">
        <v>1745</v>
      </c>
    </row>
    <row r="2428" spans="1:10" x14ac:dyDescent="0.3">
      <c r="A2428" t="s">
        <v>1</v>
      </c>
      <c r="B2428" t="s">
        <v>5</v>
      </c>
      <c r="C2428" t="s">
        <v>193</v>
      </c>
      <c r="D2428" t="s">
        <v>192</v>
      </c>
      <c r="E2428">
        <v>86</v>
      </c>
      <c r="F2428">
        <v>0</v>
      </c>
      <c r="G2428" s="1">
        <v>15800</v>
      </c>
      <c r="H2428" s="1">
        <v>12650</v>
      </c>
      <c r="I2428" s="1">
        <v>15760</v>
      </c>
      <c r="J2428" s="1">
        <v>1246</v>
      </c>
    </row>
    <row r="2429" spans="1:10" x14ac:dyDescent="0.3">
      <c r="A2429" t="s">
        <v>1</v>
      </c>
      <c r="B2429" t="s">
        <v>4</v>
      </c>
      <c r="C2429" t="s">
        <v>193</v>
      </c>
      <c r="D2429" t="s">
        <v>192</v>
      </c>
      <c r="E2429">
        <v>86</v>
      </c>
      <c r="F2429">
        <v>0</v>
      </c>
      <c r="G2429" s="1">
        <v>19200</v>
      </c>
      <c r="H2429" s="1">
        <v>19200</v>
      </c>
      <c r="I2429" s="1">
        <v>34720</v>
      </c>
      <c r="J2429" s="1">
        <v>1808</v>
      </c>
    </row>
    <row r="2430" spans="1:10" x14ac:dyDescent="0.3">
      <c r="A2430" t="s">
        <v>1</v>
      </c>
      <c r="B2430" t="s">
        <v>3</v>
      </c>
      <c r="C2430" t="s">
        <v>193</v>
      </c>
      <c r="D2430" t="s">
        <v>192</v>
      </c>
      <c r="E2430">
        <v>86</v>
      </c>
      <c r="F2430">
        <v>0</v>
      </c>
      <c r="G2430" s="1">
        <v>23230</v>
      </c>
      <c r="H2430" s="1">
        <v>20595</v>
      </c>
      <c r="I2430" s="1">
        <v>19326</v>
      </c>
      <c r="J2430" s="1">
        <v>938</v>
      </c>
    </row>
    <row r="2431" spans="1:10" x14ac:dyDescent="0.3">
      <c r="A2431" t="s">
        <v>1</v>
      </c>
      <c r="B2431" t="s">
        <v>0</v>
      </c>
      <c r="C2431" t="s">
        <v>193</v>
      </c>
      <c r="D2431" t="s">
        <v>192</v>
      </c>
      <c r="E2431">
        <v>86</v>
      </c>
      <c r="F2431">
        <v>0</v>
      </c>
      <c r="G2431" s="1">
        <v>19230</v>
      </c>
      <c r="H2431" s="1">
        <v>18730</v>
      </c>
      <c r="I2431" s="1">
        <v>26146</v>
      </c>
      <c r="J2431" s="1">
        <v>1396</v>
      </c>
    </row>
    <row r="2432" spans="1:10" x14ac:dyDescent="0.3">
      <c r="A2432" t="s">
        <v>120</v>
      </c>
      <c r="B2432" t="s">
        <v>18</v>
      </c>
      <c r="C2432" t="s">
        <v>193</v>
      </c>
      <c r="D2432" t="s">
        <v>192</v>
      </c>
      <c r="E2432">
        <v>86</v>
      </c>
      <c r="F2432">
        <v>0</v>
      </c>
      <c r="G2432" s="1">
        <v>12000</v>
      </c>
      <c r="H2432" s="1">
        <v>10740</v>
      </c>
      <c r="I2432" s="1">
        <v>17610</v>
      </c>
      <c r="J2432" s="1">
        <v>1640</v>
      </c>
    </row>
    <row r="2433" spans="1:10" x14ac:dyDescent="0.3">
      <c r="A2433" t="s">
        <v>120</v>
      </c>
      <c r="B2433" t="s">
        <v>17</v>
      </c>
      <c r="C2433" t="s">
        <v>193</v>
      </c>
      <c r="D2433" t="s">
        <v>192</v>
      </c>
      <c r="E2433">
        <v>86</v>
      </c>
      <c r="F2433">
        <v>0</v>
      </c>
      <c r="G2433" s="1">
        <v>5700</v>
      </c>
      <c r="H2433" s="1">
        <v>5700</v>
      </c>
      <c r="I2433" s="1">
        <v>10300</v>
      </c>
      <c r="J2433" s="1">
        <v>1807</v>
      </c>
    </row>
    <row r="2434" spans="1:10" x14ac:dyDescent="0.3">
      <c r="A2434" t="s">
        <v>120</v>
      </c>
      <c r="B2434" t="s">
        <v>14</v>
      </c>
      <c r="C2434" t="s">
        <v>193</v>
      </c>
      <c r="D2434" t="s">
        <v>192</v>
      </c>
      <c r="E2434">
        <v>86</v>
      </c>
      <c r="F2434">
        <v>0</v>
      </c>
      <c r="G2434" s="1">
        <v>45800</v>
      </c>
      <c r="H2434" s="1">
        <v>45800</v>
      </c>
      <c r="I2434" s="1">
        <v>71530</v>
      </c>
      <c r="J2434" s="1">
        <v>1562</v>
      </c>
    </row>
    <row r="2435" spans="1:10" x14ac:dyDescent="0.3">
      <c r="A2435" t="s">
        <v>120</v>
      </c>
      <c r="B2435" t="s">
        <v>12</v>
      </c>
      <c r="C2435" t="s">
        <v>193</v>
      </c>
      <c r="D2435" t="s">
        <v>192</v>
      </c>
      <c r="E2435">
        <v>86</v>
      </c>
      <c r="F2435">
        <v>0</v>
      </c>
      <c r="G2435" s="1">
        <v>25400</v>
      </c>
      <c r="H2435" s="1">
        <v>25400</v>
      </c>
      <c r="I2435" s="1">
        <v>47470</v>
      </c>
      <c r="J2435" s="1">
        <v>1869</v>
      </c>
    </row>
    <row r="2436" spans="1:10" x14ac:dyDescent="0.3">
      <c r="A2436" t="s">
        <v>120</v>
      </c>
      <c r="B2436" t="s">
        <v>9</v>
      </c>
      <c r="C2436" t="s">
        <v>193</v>
      </c>
      <c r="D2436" t="s">
        <v>192</v>
      </c>
      <c r="E2436">
        <v>86</v>
      </c>
      <c r="F2436">
        <v>0</v>
      </c>
      <c r="G2436" s="1">
        <v>97670</v>
      </c>
      <c r="H2436" s="1">
        <v>97600</v>
      </c>
      <c r="I2436" s="1">
        <v>222218</v>
      </c>
      <c r="J2436" s="1">
        <v>2277</v>
      </c>
    </row>
    <row r="2437" spans="1:10" x14ac:dyDescent="0.3">
      <c r="A2437" t="s">
        <v>120</v>
      </c>
      <c r="B2437" t="s">
        <v>8</v>
      </c>
      <c r="C2437" t="s">
        <v>193</v>
      </c>
      <c r="D2437" t="s">
        <v>192</v>
      </c>
      <c r="E2437">
        <v>86</v>
      </c>
      <c r="F2437">
        <v>0</v>
      </c>
      <c r="G2437" s="1">
        <v>68454</v>
      </c>
      <c r="H2437" s="1">
        <v>68454</v>
      </c>
      <c r="I2437" s="1">
        <v>151461</v>
      </c>
      <c r="J2437" s="1">
        <v>2213</v>
      </c>
    </row>
    <row r="2438" spans="1:10" x14ac:dyDescent="0.3">
      <c r="A2438" t="s">
        <v>120</v>
      </c>
      <c r="B2438" t="s">
        <v>7</v>
      </c>
      <c r="C2438" t="s">
        <v>193</v>
      </c>
      <c r="D2438" t="s">
        <v>192</v>
      </c>
      <c r="E2438">
        <v>86</v>
      </c>
      <c r="F2438">
        <v>0</v>
      </c>
      <c r="G2438" s="1">
        <v>38540</v>
      </c>
      <c r="H2438" s="1">
        <v>38540</v>
      </c>
      <c r="I2438" s="1">
        <v>54443</v>
      </c>
      <c r="J2438" s="1">
        <v>1413</v>
      </c>
    </row>
    <row r="2439" spans="1:10" x14ac:dyDescent="0.3">
      <c r="A2439" t="s">
        <v>120</v>
      </c>
      <c r="B2439" t="s">
        <v>6</v>
      </c>
      <c r="C2439" t="s">
        <v>193</v>
      </c>
      <c r="D2439" t="s">
        <v>192</v>
      </c>
      <c r="E2439">
        <v>86</v>
      </c>
      <c r="F2439">
        <v>0</v>
      </c>
      <c r="G2439" s="1">
        <v>26700</v>
      </c>
      <c r="H2439" s="1">
        <v>26700</v>
      </c>
      <c r="I2439" s="1">
        <v>45026</v>
      </c>
      <c r="J2439" s="1">
        <v>1686</v>
      </c>
    </row>
    <row r="2440" spans="1:10" x14ac:dyDescent="0.3">
      <c r="A2440" t="s">
        <v>120</v>
      </c>
      <c r="B2440" t="s">
        <v>5</v>
      </c>
      <c r="C2440" t="s">
        <v>193</v>
      </c>
      <c r="D2440" t="s">
        <v>192</v>
      </c>
      <c r="E2440">
        <v>86</v>
      </c>
      <c r="F2440">
        <v>0</v>
      </c>
      <c r="G2440" s="1">
        <v>61370</v>
      </c>
      <c r="H2440" s="1">
        <v>61370</v>
      </c>
      <c r="I2440" s="1">
        <v>70695</v>
      </c>
      <c r="J2440" s="1">
        <v>1152</v>
      </c>
    </row>
    <row r="2441" spans="1:10" x14ac:dyDescent="0.3">
      <c r="A2441" t="s">
        <v>120</v>
      </c>
      <c r="B2441" t="s">
        <v>4</v>
      </c>
      <c r="C2441" t="s">
        <v>193</v>
      </c>
      <c r="D2441" t="s">
        <v>192</v>
      </c>
      <c r="E2441">
        <v>86</v>
      </c>
      <c r="F2441">
        <v>0</v>
      </c>
      <c r="G2441" s="1">
        <v>12360</v>
      </c>
      <c r="H2441" s="1">
        <v>12360</v>
      </c>
      <c r="I2441" s="1">
        <v>21457</v>
      </c>
      <c r="J2441" s="1">
        <v>1736</v>
      </c>
    </row>
    <row r="2442" spans="1:10" x14ac:dyDescent="0.3">
      <c r="A2442" t="s">
        <v>120</v>
      </c>
      <c r="B2442" t="s">
        <v>3</v>
      </c>
      <c r="C2442" t="s">
        <v>193</v>
      </c>
      <c r="D2442" t="s">
        <v>192</v>
      </c>
      <c r="E2442">
        <v>86</v>
      </c>
      <c r="F2442">
        <v>0</v>
      </c>
      <c r="G2442" s="1">
        <v>37520</v>
      </c>
      <c r="H2442" s="1">
        <v>37295</v>
      </c>
      <c r="I2442" s="1">
        <v>73052</v>
      </c>
      <c r="J2442" s="1">
        <v>1959</v>
      </c>
    </row>
    <row r="2443" spans="1:10" x14ac:dyDescent="0.3">
      <c r="A2443" t="s">
        <v>202</v>
      </c>
      <c r="B2443" t="s">
        <v>7</v>
      </c>
      <c r="C2443" t="s">
        <v>193</v>
      </c>
      <c r="D2443" t="s">
        <v>192</v>
      </c>
      <c r="E2443">
        <v>86</v>
      </c>
      <c r="F2443">
        <v>0</v>
      </c>
      <c r="G2443" s="1">
        <v>70</v>
      </c>
      <c r="H2443" s="1">
        <v>0</v>
      </c>
      <c r="I2443" s="1">
        <v>0</v>
      </c>
      <c r="J2443" s="1">
        <v>0</v>
      </c>
    </row>
    <row r="2444" spans="1:10" x14ac:dyDescent="0.3">
      <c r="A2444" t="s">
        <v>119</v>
      </c>
      <c r="B2444" t="s">
        <v>20</v>
      </c>
      <c r="C2444" t="s">
        <v>193</v>
      </c>
      <c r="D2444" t="s">
        <v>192</v>
      </c>
      <c r="E2444">
        <v>86</v>
      </c>
      <c r="F2444">
        <v>0</v>
      </c>
      <c r="G2444" s="1">
        <v>728430</v>
      </c>
      <c r="H2444" s="1">
        <v>607990</v>
      </c>
      <c r="I2444" s="1">
        <v>4634110</v>
      </c>
      <c r="J2444" s="1">
        <v>7622</v>
      </c>
    </row>
    <row r="2445" spans="1:10" x14ac:dyDescent="0.3">
      <c r="A2445" t="s">
        <v>119</v>
      </c>
      <c r="B2445" t="s">
        <v>18</v>
      </c>
      <c r="C2445" t="s">
        <v>193</v>
      </c>
      <c r="D2445" t="s">
        <v>192</v>
      </c>
      <c r="E2445">
        <v>86</v>
      </c>
      <c r="F2445">
        <v>0</v>
      </c>
      <c r="G2445" s="1">
        <v>490200</v>
      </c>
      <c r="H2445" s="1">
        <v>377900</v>
      </c>
      <c r="I2445" s="1">
        <v>2407550</v>
      </c>
      <c r="J2445" s="1">
        <v>6371</v>
      </c>
    </row>
    <row r="2446" spans="1:10" x14ac:dyDescent="0.3">
      <c r="A2446" t="s">
        <v>119</v>
      </c>
      <c r="B2446" t="s">
        <v>17</v>
      </c>
      <c r="C2446" t="s">
        <v>193</v>
      </c>
      <c r="D2446" t="s">
        <v>192</v>
      </c>
      <c r="E2446">
        <v>86</v>
      </c>
      <c r="F2446">
        <v>0</v>
      </c>
      <c r="G2446" s="1">
        <v>672320</v>
      </c>
      <c r="H2446" s="1">
        <v>593910</v>
      </c>
      <c r="I2446" s="1">
        <v>4262476</v>
      </c>
      <c r="J2446" s="1">
        <v>7177</v>
      </c>
    </row>
    <row r="2447" spans="1:10" x14ac:dyDescent="0.3">
      <c r="A2447" t="s">
        <v>119</v>
      </c>
      <c r="B2447" t="s">
        <v>14</v>
      </c>
      <c r="C2447" t="s">
        <v>193</v>
      </c>
      <c r="D2447" t="s">
        <v>192</v>
      </c>
      <c r="E2447">
        <v>86</v>
      </c>
      <c r="F2447">
        <v>0</v>
      </c>
      <c r="G2447" s="1">
        <v>684500</v>
      </c>
      <c r="H2447" s="1">
        <v>627350</v>
      </c>
      <c r="I2447" s="1">
        <v>4483905</v>
      </c>
      <c r="J2447" s="1">
        <v>7147</v>
      </c>
    </row>
    <row r="2448" spans="1:10" x14ac:dyDescent="0.3">
      <c r="A2448" t="s">
        <v>119</v>
      </c>
      <c r="B2448" t="s">
        <v>12</v>
      </c>
      <c r="C2448" t="s">
        <v>193</v>
      </c>
      <c r="D2448" t="s">
        <v>192</v>
      </c>
      <c r="E2448">
        <v>86</v>
      </c>
      <c r="F2448">
        <v>0</v>
      </c>
      <c r="G2448" s="1">
        <v>731890</v>
      </c>
      <c r="H2448" s="1">
        <v>625550</v>
      </c>
      <c r="I2448" s="1">
        <v>3661765</v>
      </c>
      <c r="J2448" s="1">
        <v>5854</v>
      </c>
    </row>
    <row r="2449" spans="1:10" x14ac:dyDescent="0.3">
      <c r="A2449" t="s">
        <v>119</v>
      </c>
      <c r="B2449" t="s">
        <v>9</v>
      </c>
      <c r="C2449" t="s">
        <v>193</v>
      </c>
      <c r="D2449" t="s">
        <v>192</v>
      </c>
      <c r="E2449">
        <v>86</v>
      </c>
      <c r="F2449">
        <v>0</v>
      </c>
      <c r="G2449" s="1">
        <v>747900</v>
      </c>
      <c r="H2449" s="1">
        <v>660750</v>
      </c>
      <c r="I2449" s="1">
        <v>4405979</v>
      </c>
      <c r="J2449" s="1">
        <v>6668</v>
      </c>
    </row>
    <row r="2450" spans="1:10" x14ac:dyDescent="0.3">
      <c r="A2450" t="s">
        <v>119</v>
      </c>
      <c r="B2450" t="s">
        <v>8</v>
      </c>
      <c r="C2450" t="s">
        <v>193</v>
      </c>
      <c r="D2450" t="s">
        <v>192</v>
      </c>
      <c r="E2450">
        <v>86</v>
      </c>
      <c r="F2450">
        <v>0</v>
      </c>
      <c r="G2450" s="1">
        <v>811060</v>
      </c>
      <c r="H2450" s="1">
        <v>760760</v>
      </c>
      <c r="I2450" s="1">
        <v>5653025</v>
      </c>
      <c r="J2450" s="1">
        <v>7431</v>
      </c>
    </row>
    <row r="2451" spans="1:10" x14ac:dyDescent="0.3">
      <c r="A2451" t="s">
        <v>119</v>
      </c>
      <c r="B2451" t="s">
        <v>7</v>
      </c>
      <c r="C2451" t="s">
        <v>193</v>
      </c>
      <c r="D2451" t="s">
        <v>192</v>
      </c>
      <c r="E2451">
        <v>86</v>
      </c>
      <c r="F2451">
        <v>0</v>
      </c>
      <c r="G2451" s="1">
        <v>744900</v>
      </c>
      <c r="H2451" s="1">
        <v>688611</v>
      </c>
      <c r="I2451" s="1">
        <v>5138847</v>
      </c>
      <c r="J2451" s="1">
        <v>7463</v>
      </c>
    </row>
    <row r="2452" spans="1:10" x14ac:dyDescent="0.3">
      <c r="A2452" t="s">
        <v>119</v>
      </c>
      <c r="B2452" t="s">
        <v>6</v>
      </c>
      <c r="C2452" t="s">
        <v>193</v>
      </c>
      <c r="D2452" t="s">
        <v>192</v>
      </c>
      <c r="E2452">
        <v>86</v>
      </c>
      <c r="F2452">
        <v>0</v>
      </c>
      <c r="G2452" s="1">
        <v>777100</v>
      </c>
      <c r="H2452" s="1">
        <v>725980</v>
      </c>
      <c r="I2452" s="1">
        <v>5386950</v>
      </c>
      <c r="J2452" s="1">
        <v>7420</v>
      </c>
    </row>
    <row r="2453" spans="1:10" x14ac:dyDescent="0.3">
      <c r="A2453" t="s">
        <v>119</v>
      </c>
      <c r="B2453" t="s">
        <v>5</v>
      </c>
      <c r="C2453" t="s">
        <v>193</v>
      </c>
      <c r="D2453" t="s">
        <v>192</v>
      </c>
      <c r="E2453">
        <v>86</v>
      </c>
      <c r="F2453">
        <v>0</v>
      </c>
      <c r="G2453" s="1">
        <v>822100</v>
      </c>
      <c r="H2453" s="1">
        <v>734246</v>
      </c>
      <c r="I2453" s="1">
        <v>4549312</v>
      </c>
      <c r="J2453" s="1">
        <v>6196</v>
      </c>
    </row>
    <row r="2454" spans="1:10" x14ac:dyDescent="0.3">
      <c r="A2454" t="s">
        <v>119</v>
      </c>
      <c r="B2454" t="s">
        <v>4</v>
      </c>
      <c r="C2454" t="s">
        <v>193</v>
      </c>
      <c r="D2454" t="s">
        <v>192</v>
      </c>
      <c r="E2454">
        <v>86</v>
      </c>
      <c r="F2454">
        <v>0</v>
      </c>
      <c r="G2454" s="1">
        <v>827700</v>
      </c>
      <c r="H2454" s="1">
        <v>512275</v>
      </c>
      <c r="I2454" s="1">
        <v>1551073</v>
      </c>
      <c r="J2454" s="1">
        <v>3028</v>
      </c>
    </row>
    <row r="2455" spans="1:10" x14ac:dyDescent="0.3">
      <c r="A2455" t="s">
        <v>119</v>
      </c>
      <c r="B2455" t="s">
        <v>3</v>
      </c>
      <c r="C2455" t="s">
        <v>193</v>
      </c>
      <c r="D2455" t="s">
        <v>192</v>
      </c>
      <c r="E2455">
        <v>86</v>
      </c>
      <c r="F2455">
        <v>0</v>
      </c>
      <c r="G2455" s="1">
        <v>550700</v>
      </c>
      <c r="H2455" s="1">
        <v>413985</v>
      </c>
      <c r="I2455" s="1">
        <v>1612241</v>
      </c>
      <c r="J2455" s="1">
        <v>3894</v>
      </c>
    </row>
    <row r="2456" spans="1:10" x14ac:dyDescent="0.3">
      <c r="A2456" t="s">
        <v>201</v>
      </c>
      <c r="B2456" t="s">
        <v>4</v>
      </c>
      <c r="C2456" t="s">
        <v>193</v>
      </c>
      <c r="D2456" t="s">
        <v>192</v>
      </c>
      <c r="E2456">
        <v>86</v>
      </c>
      <c r="F2456">
        <v>0</v>
      </c>
      <c r="G2456" s="1">
        <v>300</v>
      </c>
      <c r="H2456" s="1">
        <v>295</v>
      </c>
      <c r="I2456" s="1">
        <v>738</v>
      </c>
      <c r="J2456" s="1">
        <v>2500</v>
      </c>
    </row>
    <row r="2457" spans="1:10" x14ac:dyDescent="0.3">
      <c r="A2457" t="s">
        <v>201</v>
      </c>
      <c r="B2457" t="s">
        <v>3</v>
      </c>
      <c r="C2457" t="s">
        <v>193</v>
      </c>
      <c r="D2457" t="s">
        <v>192</v>
      </c>
      <c r="E2457">
        <v>86</v>
      </c>
      <c r="F2457">
        <v>0</v>
      </c>
      <c r="G2457" s="1">
        <v>300</v>
      </c>
      <c r="H2457" s="1">
        <v>285</v>
      </c>
      <c r="I2457" s="1">
        <v>627</v>
      </c>
      <c r="J2457" s="1">
        <v>2200</v>
      </c>
    </row>
    <row r="2458" spans="1:10" x14ac:dyDescent="0.3">
      <c r="A2458" t="s">
        <v>200</v>
      </c>
      <c r="B2458" t="s">
        <v>3</v>
      </c>
      <c r="C2458" t="s">
        <v>193</v>
      </c>
      <c r="D2458" t="s">
        <v>72</v>
      </c>
      <c r="E2458">
        <v>86</v>
      </c>
      <c r="F2458">
        <v>119</v>
      </c>
      <c r="G2458" s="1">
        <v>5660</v>
      </c>
      <c r="H2458" s="1">
        <v>4910</v>
      </c>
      <c r="I2458" s="1">
        <v>3633</v>
      </c>
      <c r="J2458" s="1">
        <v>740</v>
      </c>
    </row>
    <row r="2459" spans="1:10" x14ac:dyDescent="0.3">
      <c r="A2459" t="s">
        <v>200</v>
      </c>
      <c r="B2459" t="s">
        <v>3</v>
      </c>
      <c r="C2459" t="s">
        <v>193</v>
      </c>
      <c r="D2459" t="s">
        <v>46</v>
      </c>
      <c r="E2459">
        <v>86</v>
      </c>
      <c r="F2459">
        <v>126</v>
      </c>
      <c r="G2459" s="1">
        <v>15150</v>
      </c>
      <c r="H2459" s="1">
        <v>14965</v>
      </c>
      <c r="I2459" s="1">
        <v>25502</v>
      </c>
      <c r="J2459" s="1">
        <v>1704</v>
      </c>
    </row>
    <row r="2460" spans="1:10" x14ac:dyDescent="0.3">
      <c r="A2460" t="s">
        <v>200</v>
      </c>
      <c r="B2460" t="s">
        <v>3</v>
      </c>
      <c r="C2460" t="s">
        <v>193</v>
      </c>
      <c r="D2460" t="s">
        <v>68</v>
      </c>
      <c r="E2460">
        <v>86</v>
      </c>
      <c r="F2460">
        <v>133</v>
      </c>
      <c r="G2460" s="1">
        <v>19675</v>
      </c>
      <c r="H2460" s="1">
        <v>19468</v>
      </c>
      <c r="I2460" s="1">
        <v>35548</v>
      </c>
      <c r="J2460" s="1">
        <v>1826</v>
      </c>
    </row>
    <row r="2461" spans="1:10" x14ac:dyDescent="0.3">
      <c r="A2461" t="s">
        <v>200</v>
      </c>
      <c r="B2461" t="s">
        <v>3</v>
      </c>
      <c r="C2461" t="s">
        <v>193</v>
      </c>
      <c r="D2461" t="s">
        <v>29</v>
      </c>
      <c r="E2461">
        <v>86</v>
      </c>
      <c r="F2461">
        <v>140</v>
      </c>
      <c r="G2461" s="1">
        <v>2800</v>
      </c>
      <c r="H2461" s="1">
        <v>2670</v>
      </c>
      <c r="I2461" s="1">
        <v>4539</v>
      </c>
      <c r="J2461" s="1">
        <v>1700</v>
      </c>
    </row>
    <row r="2462" spans="1:10" x14ac:dyDescent="0.3">
      <c r="A2462" t="s">
        <v>200</v>
      </c>
      <c r="B2462" t="s">
        <v>3</v>
      </c>
      <c r="C2462" t="s">
        <v>193</v>
      </c>
      <c r="D2462" t="s">
        <v>65</v>
      </c>
      <c r="E2462">
        <v>86</v>
      </c>
      <c r="F2462">
        <v>147</v>
      </c>
      <c r="G2462" s="1">
        <v>12500</v>
      </c>
      <c r="H2462" s="1">
        <v>12415</v>
      </c>
      <c r="I2462" s="1">
        <v>21106</v>
      </c>
      <c r="J2462" s="1">
        <v>1700</v>
      </c>
    </row>
    <row r="2463" spans="1:10" x14ac:dyDescent="0.3">
      <c r="A2463" t="s">
        <v>200</v>
      </c>
      <c r="B2463" t="s">
        <v>3</v>
      </c>
      <c r="C2463" t="s">
        <v>193</v>
      </c>
      <c r="D2463" t="s">
        <v>33</v>
      </c>
      <c r="E2463">
        <v>86</v>
      </c>
      <c r="F2463">
        <v>189</v>
      </c>
      <c r="G2463" s="1">
        <v>150</v>
      </c>
      <c r="H2463" s="1">
        <v>130</v>
      </c>
      <c r="I2463" s="1">
        <v>234</v>
      </c>
      <c r="J2463" s="1">
        <v>1800</v>
      </c>
    </row>
    <row r="2464" spans="1:10" x14ac:dyDescent="0.3">
      <c r="A2464" t="s">
        <v>199</v>
      </c>
      <c r="B2464" t="s">
        <v>3</v>
      </c>
      <c r="C2464" t="s">
        <v>193</v>
      </c>
      <c r="D2464" t="s">
        <v>192</v>
      </c>
      <c r="E2464">
        <v>86</v>
      </c>
      <c r="F2464">
        <v>0</v>
      </c>
      <c r="G2464" s="1">
        <v>108360</v>
      </c>
      <c r="H2464" s="1">
        <v>105213</v>
      </c>
      <c r="I2464" s="1">
        <v>180585</v>
      </c>
      <c r="J2464" s="1">
        <v>1716</v>
      </c>
    </row>
    <row r="2465" spans="1:10" x14ac:dyDescent="0.3">
      <c r="A2465" t="s">
        <v>198</v>
      </c>
      <c r="B2465" t="s">
        <v>3</v>
      </c>
      <c r="C2465" t="s">
        <v>193</v>
      </c>
      <c r="D2465" t="s">
        <v>192</v>
      </c>
      <c r="E2465">
        <v>86</v>
      </c>
      <c r="F2465">
        <v>0</v>
      </c>
      <c r="G2465" s="1">
        <v>7850</v>
      </c>
      <c r="H2465" s="1">
        <v>7601</v>
      </c>
      <c r="I2465" s="1">
        <v>13358</v>
      </c>
      <c r="J2465" s="1">
        <v>1757</v>
      </c>
    </row>
    <row r="2466" spans="1:10" x14ac:dyDescent="0.3">
      <c r="A2466" t="s">
        <v>197</v>
      </c>
      <c r="B2466" t="s">
        <v>20</v>
      </c>
      <c r="C2466" t="s">
        <v>193</v>
      </c>
      <c r="D2466" t="s">
        <v>192</v>
      </c>
      <c r="E2466">
        <v>86</v>
      </c>
      <c r="F2466">
        <v>0</v>
      </c>
      <c r="G2466" s="1">
        <v>923353</v>
      </c>
      <c r="H2466" s="1">
        <v>923353</v>
      </c>
      <c r="I2466" s="1">
        <v>2606977</v>
      </c>
      <c r="J2466" s="1">
        <v>2823</v>
      </c>
    </row>
    <row r="2467" spans="1:10" x14ac:dyDescent="0.3">
      <c r="A2467" t="s">
        <v>197</v>
      </c>
      <c r="B2467" t="s">
        <v>18</v>
      </c>
      <c r="C2467" t="s">
        <v>193</v>
      </c>
      <c r="D2467" t="s">
        <v>192</v>
      </c>
      <c r="E2467">
        <v>86</v>
      </c>
      <c r="F2467">
        <v>0</v>
      </c>
      <c r="G2467" s="1">
        <v>720325</v>
      </c>
      <c r="H2467" s="1">
        <v>641269</v>
      </c>
      <c r="I2467" s="1">
        <v>1575210</v>
      </c>
      <c r="J2467" s="1">
        <v>2456</v>
      </c>
    </row>
    <row r="2468" spans="1:10" x14ac:dyDescent="0.3">
      <c r="A2468" t="s">
        <v>197</v>
      </c>
      <c r="B2468" t="s">
        <v>17</v>
      </c>
      <c r="C2468" t="s">
        <v>193</v>
      </c>
      <c r="D2468" t="s">
        <v>192</v>
      </c>
      <c r="E2468">
        <v>86</v>
      </c>
      <c r="F2468">
        <v>0</v>
      </c>
      <c r="G2468" s="1">
        <v>744356</v>
      </c>
      <c r="H2468" s="1">
        <v>720773</v>
      </c>
      <c r="I2468" s="1">
        <v>1893857</v>
      </c>
      <c r="J2468" s="1">
        <v>2628</v>
      </c>
    </row>
    <row r="2469" spans="1:10" x14ac:dyDescent="0.3">
      <c r="A2469" t="s">
        <v>197</v>
      </c>
      <c r="B2469" t="s">
        <v>14</v>
      </c>
      <c r="C2469" t="s">
        <v>193</v>
      </c>
      <c r="D2469" t="s">
        <v>192</v>
      </c>
      <c r="E2469">
        <v>86</v>
      </c>
      <c r="F2469">
        <v>0</v>
      </c>
      <c r="G2469" s="1">
        <v>586304</v>
      </c>
      <c r="H2469" s="1">
        <v>582919</v>
      </c>
      <c r="I2469" s="1">
        <v>2119781</v>
      </c>
      <c r="J2469" s="1">
        <v>3636</v>
      </c>
    </row>
    <row r="2470" spans="1:10" x14ac:dyDescent="0.3">
      <c r="A2470" t="s">
        <v>197</v>
      </c>
      <c r="B2470" t="s">
        <v>12</v>
      </c>
      <c r="C2470" t="s">
        <v>193</v>
      </c>
      <c r="D2470" t="s">
        <v>192</v>
      </c>
      <c r="E2470">
        <v>86</v>
      </c>
      <c r="F2470">
        <v>0</v>
      </c>
      <c r="G2470" s="1">
        <v>395864</v>
      </c>
      <c r="H2470" s="1">
        <v>390748</v>
      </c>
      <c r="I2470" s="1">
        <v>1023177</v>
      </c>
      <c r="J2470" s="1">
        <v>2619</v>
      </c>
    </row>
    <row r="2471" spans="1:10" x14ac:dyDescent="0.3">
      <c r="A2471" t="s">
        <v>197</v>
      </c>
      <c r="B2471" t="s">
        <v>9</v>
      </c>
      <c r="C2471" t="s">
        <v>193</v>
      </c>
      <c r="D2471" t="s">
        <v>192</v>
      </c>
      <c r="E2471">
        <v>86</v>
      </c>
      <c r="F2471">
        <v>0</v>
      </c>
      <c r="G2471" s="1">
        <v>768872</v>
      </c>
      <c r="H2471" s="1">
        <v>729792</v>
      </c>
      <c r="I2471" s="1">
        <v>2440435</v>
      </c>
      <c r="J2471" s="1">
        <v>3344</v>
      </c>
    </row>
    <row r="2472" spans="1:10" x14ac:dyDescent="0.3">
      <c r="A2472" t="s">
        <v>197</v>
      </c>
      <c r="B2472" t="s">
        <v>8</v>
      </c>
      <c r="C2472" t="s">
        <v>193</v>
      </c>
      <c r="D2472" t="s">
        <v>192</v>
      </c>
      <c r="E2472">
        <v>86</v>
      </c>
      <c r="F2472">
        <v>0</v>
      </c>
      <c r="G2472" s="1">
        <v>578200</v>
      </c>
      <c r="H2472" s="1">
        <v>575380</v>
      </c>
      <c r="I2472" s="1">
        <v>1888602</v>
      </c>
      <c r="J2472" s="1">
        <v>3282</v>
      </c>
    </row>
    <row r="2473" spans="1:10" x14ac:dyDescent="0.3">
      <c r="A2473" t="s">
        <v>197</v>
      </c>
      <c r="B2473" t="s">
        <v>7</v>
      </c>
      <c r="C2473" t="s">
        <v>193</v>
      </c>
      <c r="D2473" t="s">
        <v>192</v>
      </c>
      <c r="E2473">
        <v>86</v>
      </c>
      <c r="F2473">
        <v>0</v>
      </c>
      <c r="G2473" s="1">
        <v>677700</v>
      </c>
      <c r="H2473" s="1">
        <v>677700</v>
      </c>
      <c r="I2473" s="1">
        <v>2285170</v>
      </c>
      <c r="J2473" s="1">
        <v>3372</v>
      </c>
    </row>
    <row r="2474" spans="1:10" x14ac:dyDescent="0.3">
      <c r="A2474" t="s">
        <v>197</v>
      </c>
      <c r="B2474" t="s">
        <v>6</v>
      </c>
      <c r="C2474" t="s">
        <v>193</v>
      </c>
      <c r="D2474" t="s">
        <v>192</v>
      </c>
      <c r="E2474">
        <v>86</v>
      </c>
      <c r="F2474">
        <v>0</v>
      </c>
      <c r="G2474" s="1">
        <v>683500</v>
      </c>
      <c r="H2474" s="1">
        <v>683500</v>
      </c>
      <c r="I2474" s="1">
        <v>2159880</v>
      </c>
      <c r="J2474" s="1">
        <v>3160</v>
      </c>
    </row>
    <row r="2475" spans="1:10" x14ac:dyDescent="0.3">
      <c r="A2475" t="s">
        <v>197</v>
      </c>
      <c r="B2475" t="s">
        <v>5</v>
      </c>
      <c r="C2475" t="s">
        <v>193</v>
      </c>
      <c r="D2475" t="s">
        <v>192</v>
      </c>
      <c r="E2475">
        <v>86</v>
      </c>
      <c r="F2475">
        <v>0</v>
      </c>
      <c r="G2475" s="1">
        <v>842500</v>
      </c>
      <c r="H2475" s="1">
        <v>842500</v>
      </c>
      <c r="I2475" s="1">
        <v>2177220</v>
      </c>
      <c r="J2475" s="1">
        <v>2584</v>
      </c>
    </row>
    <row r="2476" spans="1:10" x14ac:dyDescent="0.3">
      <c r="A2476" t="s">
        <v>197</v>
      </c>
      <c r="B2476" t="s">
        <v>4</v>
      </c>
      <c r="C2476" t="s">
        <v>193</v>
      </c>
      <c r="D2476" t="s">
        <v>192</v>
      </c>
      <c r="E2476">
        <v>86</v>
      </c>
      <c r="F2476">
        <v>0</v>
      </c>
      <c r="G2476" s="1">
        <v>809680</v>
      </c>
      <c r="H2476" s="1">
        <v>792130</v>
      </c>
      <c r="I2476" s="1">
        <v>2141315</v>
      </c>
      <c r="J2476" s="1">
        <v>2703</v>
      </c>
    </row>
    <row r="2477" spans="1:10" x14ac:dyDescent="0.3">
      <c r="A2477" t="s">
        <v>197</v>
      </c>
      <c r="B2477" t="s">
        <v>3</v>
      </c>
      <c r="C2477" t="s">
        <v>193</v>
      </c>
      <c r="D2477" t="s">
        <v>192</v>
      </c>
      <c r="E2477">
        <v>86</v>
      </c>
      <c r="F2477">
        <v>0</v>
      </c>
      <c r="G2477" s="1">
        <v>1072995</v>
      </c>
      <c r="H2477" s="1">
        <v>936988</v>
      </c>
      <c r="I2477" s="1">
        <v>2067079</v>
      </c>
      <c r="J2477" s="1">
        <v>2206</v>
      </c>
    </row>
    <row r="2478" spans="1:10" x14ac:dyDescent="0.3">
      <c r="A2478" t="s">
        <v>195</v>
      </c>
      <c r="B2478" t="s">
        <v>196</v>
      </c>
      <c r="C2478" t="s">
        <v>193</v>
      </c>
      <c r="D2478" t="s">
        <v>192</v>
      </c>
      <c r="E2478">
        <v>86</v>
      </c>
      <c r="F2478">
        <v>0</v>
      </c>
      <c r="G2478" s="1">
        <v>100700</v>
      </c>
      <c r="H2478" s="1">
        <v>85018</v>
      </c>
      <c r="I2478" s="1">
        <v>158813</v>
      </c>
      <c r="J2478" s="1">
        <v>1868</v>
      </c>
    </row>
    <row r="2479" spans="1:10" x14ac:dyDescent="0.3">
      <c r="A2479" t="s">
        <v>195</v>
      </c>
      <c r="B2479" t="s">
        <v>20</v>
      </c>
      <c r="C2479" t="s">
        <v>193</v>
      </c>
      <c r="D2479" t="s">
        <v>192</v>
      </c>
      <c r="E2479">
        <v>86</v>
      </c>
      <c r="F2479">
        <v>0</v>
      </c>
      <c r="G2479" s="1">
        <v>46997</v>
      </c>
      <c r="H2479" s="1">
        <v>46997</v>
      </c>
      <c r="I2479" s="1">
        <v>130968</v>
      </c>
      <c r="J2479" s="1">
        <v>2787</v>
      </c>
    </row>
    <row r="2480" spans="1:10" x14ac:dyDescent="0.3">
      <c r="A2480" t="s">
        <v>195</v>
      </c>
      <c r="B2480" t="s">
        <v>18</v>
      </c>
      <c r="C2480" t="s">
        <v>193</v>
      </c>
      <c r="D2480" t="s">
        <v>192</v>
      </c>
      <c r="E2480">
        <v>86</v>
      </c>
      <c r="F2480">
        <v>0</v>
      </c>
      <c r="G2480" s="1">
        <v>148675</v>
      </c>
      <c r="H2480" s="1">
        <v>137231</v>
      </c>
      <c r="I2480" s="1">
        <v>340100</v>
      </c>
      <c r="J2480" s="1">
        <v>2478</v>
      </c>
    </row>
    <row r="2481" spans="1:10" x14ac:dyDescent="0.3">
      <c r="A2481" t="s">
        <v>195</v>
      </c>
      <c r="B2481" t="s">
        <v>17</v>
      </c>
      <c r="C2481" t="s">
        <v>193</v>
      </c>
      <c r="D2481" t="s">
        <v>192</v>
      </c>
      <c r="E2481">
        <v>86</v>
      </c>
      <c r="F2481">
        <v>0</v>
      </c>
      <c r="G2481" s="1">
        <v>236216</v>
      </c>
      <c r="H2481" s="1">
        <v>220799</v>
      </c>
      <c r="I2481" s="1">
        <v>604277</v>
      </c>
      <c r="J2481" s="1">
        <v>2737</v>
      </c>
    </row>
    <row r="2482" spans="1:10" x14ac:dyDescent="0.3">
      <c r="A2482" t="s">
        <v>195</v>
      </c>
      <c r="B2482" t="s">
        <v>14</v>
      </c>
      <c r="C2482" t="s">
        <v>193</v>
      </c>
      <c r="D2482" t="s">
        <v>192</v>
      </c>
      <c r="E2482">
        <v>86</v>
      </c>
      <c r="F2482">
        <v>0</v>
      </c>
      <c r="G2482" s="1">
        <v>285536</v>
      </c>
      <c r="H2482" s="1">
        <v>282771</v>
      </c>
      <c r="I2482" s="1">
        <v>1040081</v>
      </c>
      <c r="J2482" s="1">
        <v>3678</v>
      </c>
    </row>
    <row r="2483" spans="1:10" x14ac:dyDescent="0.3">
      <c r="A2483" t="s">
        <v>195</v>
      </c>
      <c r="B2483" t="s">
        <v>12</v>
      </c>
      <c r="C2483" t="s">
        <v>193</v>
      </c>
      <c r="D2483" t="s">
        <v>192</v>
      </c>
      <c r="E2483">
        <v>86</v>
      </c>
      <c r="F2483">
        <v>0</v>
      </c>
      <c r="G2483" s="1">
        <v>498426</v>
      </c>
      <c r="H2483" s="1">
        <v>496492</v>
      </c>
      <c r="I2483" s="1">
        <v>1330619</v>
      </c>
      <c r="J2483" s="1">
        <v>2680</v>
      </c>
    </row>
    <row r="2484" spans="1:10" x14ac:dyDescent="0.3">
      <c r="A2484" t="s">
        <v>195</v>
      </c>
      <c r="B2484" t="s">
        <v>9</v>
      </c>
      <c r="C2484" t="s">
        <v>193</v>
      </c>
      <c r="D2484" t="s">
        <v>192</v>
      </c>
      <c r="E2484">
        <v>86</v>
      </c>
      <c r="F2484">
        <v>0</v>
      </c>
      <c r="G2484" s="1">
        <v>259900</v>
      </c>
      <c r="H2484" s="1">
        <v>249700</v>
      </c>
      <c r="I2484" s="1">
        <v>702108</v>
      </c>
      <c r="J2484" s="1">
        <v>2812</v>
      </c>
    </row>
    <row r="2485" spans="1:10" x14ac:dyDescent="0.3">
      <c r="A2485" t="s">
        <v>195</v>
      </c>
      <c r="B2485" t="s">
        <v>8</v>
      </c>
      <c r="C2485" t="s">
        <v>193</v>
      </c>
      <c r="D2485" t="s">
        <v>192</v>
      </c>
      <c r="E2485">
        <v>86</v>
      </c>
      <c r="F2485">
        <v>0</v>
      </c>
      <c r="G2485" s="1">
        <v>479080</v>
      </c>
      <c r="H2485" s="1">
        <v>476400</v>
      </c>
      <c r="I2485" s="1">
        <v>1489365</v>
      </c>
      <c r="J2485" s="1">
        <v>3126</v>
      </c>
    </row>
    <row r="2486" spans="1:10" x14ac:dyDescent="0.3">
      <c r="A2486" t="s">
        <v>195</v>
      </c>
      <c r="B2486" t="s">
        <v>7</v>
      </c>
      <c r="C2486" t="s">
        <v>193</v>
      </c>
      <c r="D2486" t="s">
        <v>192</v>
      </c>
      <c r="E2486">
        <v>86</v>
      </c>
      <c r="F2486">
        <v>0</v>
      </c>
      <c r="G2486" s="1">
        <v>400450</v>
      </c>
      <c r="H2486" s="1">
        <v>400450</v>
      </c>
      <c r="I2486" s="1">
        <v>1318060</v>
      </c>
      <c r="J2486" s="1">
        <v>3291</v>
      </c>
    </row>
    <row r="2487" spans="1:10" x14ac:dyDescent="0.3">
      <c r="A2487" t="s">
        <v>195</v>
      </c>
      <c r="B2487" t="s">
        <v>6</v>
      </c>
      <c r="C2487" t="s">
        <v>193</v>
      </c>
      <c r="D2487" t="s">
        <v>192</v>
      </c>
      <c r="E2487">
        <v>86</v>
      </c>
      <c r="F2487">
        <v>0</v>
      </c>
      <c r="G2487" s="1">
        <v>394620</v>
      </c>
      <c r="H2487" s="1">
        <v>394620</v>
      </c>
      <c r="I2487" s="1">
        <v>1181105</v>
      </c>
      <c r="J2487" s="1">
        <v>2993</v>
      </c>
    </row>
    <row r="2488" spans="1:10" x14ac:dyDescent="0.3">
      <c r="A2488" t="s">
        <v>195</v>
      </c>
      <c r="B2488" t="s">
        <v>5</v>
      </c>
      <c r="C2488" t="s">
        <v>193</v>
      </c>
      <c r="D2488" t="s">
        <v>192</v>
      </c>
      <c r="E2488">
        <v>86</v>
      </c>
      <c r="F2488">
        <v>0</v>
      </c>
      <c r="G2488" s="1">
        <v>287000</v>
      </c>
      <c r="H2488" s="1">
        <v>287000</v>
      </c>
      <c r="I2488" s="1">
        <v>646212</v>
      </c>
      <c r="J2488" s="1">
        <v>2252</v>
      </c>
    </row>
    <row r="2489" spans="1:10" x14ac:dyDescent="0.3">
      <c r="A2489" t="s">
        <v>195</v>
      </c>
      <c r="B2489" t="s">
        <v>4</v>
      </c>
      <c r="C2489" t="s">
        <v>193</v>
      </c>
      <c r="D2489" t="s">
        <v>192</v>
      </c>
      <c r="E2489">
        <v>86</v>
      </c>
      <c r="F2489">
        <v>0</v>
      </c>
      <c r="G2489" s="1">
        <v>313500</v>
      </c>
      <c r="H2489" s="1">
        <v>313284</v>
      </c>
      <c r="I2489" s="1">
        <v>889658</v>
      </c>
      <c r="J2489" s="1">
        <v>2840</v>
      </c>
    </row>
    <row r="2490" spans="1:10" x14ac:dyDescent="0.3">
      <c r="A2490" t="s">
        <v>195</v>
      </c>
      <c r="B2490" t="s">
        <v>3</v>
      </c>
      <c r="C2490" t="s">
        <v>193</v>
      </c>
      <c r="D2490" t="s">
        <v>192</v>
      </c>
      <c r="E2490">
        <v>86</v>
      </c>
      <c r="F2490">
        <v>0</v>
      </c>
      <c r="G2490" s="1">
        <v>342050</v>
      </c>
      <c r="H2490" s="1">
        <v>317875</v>
      </c>
      <c r="I2490" s="1">
        <v>828155</v>
      </c>
      <c r="J2490" s="1">
        <v>2605</v>
      </c>
    </row>
    <row r="2491" spans="1:10" x14ac:dyDescent="0.3">
      <c r="A2491" t="s">
        <v>194</v>
      </c>
      <c r="B2491" t="s">
        <v>20</v>
      </c>
      <c r="C2491" t="s">
        <v>193</v>
      </c>
      <c r="D2491" t="s">
        <v>192</v>
      </c>
      <c r="E2491">
        <v>86</v>
      </c>
      <c r="F2491">
        <v>0</v>
      </c>
      <c r="G2491" s="1">
        <v>970350</v>
      </c>
      <c r="H2491" s="1">
        <v>970350</v>
      </c>
      <c r="I2491" s="1">
        <v>2737945</v>
      </c>
      <c r="J2491" s="1">
        <v>2822</v>
      </c>
    </row>
    <row r="2492" spans="1:10" x14ac:dyDescent="0.3">
      <c r="A2492" t="s">
        <v>194</v>
      </c>
      <c r="B2492" t="s">
        <v>18</v>
      </c>
      <c r="C2492" t="s">
        <v>193</v>
      </c>
      <c r="D2492" t="s">
        <v>192</v>
      </c>
      <c r="E2492">
        <v>86</v>
      </c>
      <c r="F2492">
        <v>0</v>
      </c>
      <c r="G2492" s="1">
        <v>869000</v>
      </c>
      <c r="H2492" s="1">
        <v>778500</v>
      </c>
      <c r="I2492" s="1">
        <v>1915310</v>
      </c>
      <c r="J2492" s="1">
        <v>2460</v>
      </c>
    </row>
    <row r="2493" spans="1:10" x14ac:dyDescent="0.3">
      <c r="A2493" t="s">
        <v>194</v>
      </c>
      <c r="B2493" t="s">
        <v>17</v>
      </c>
      <c r="C2493" t="s">
        <v>193</v>
      </c>
      <c r="D2493" t="s">
        <v>192</v>
      </c>
      <c r="E2493">
        <v>86</v>
      </c>
      <c r="F2493">
        <v>0</v>
      </c>
      <c r="G2493" s="1">
        <v>980572</v>
      </c>
      <c r="H2493" s="1">
        <v>941572</v>
      </c>
      <c r="I2493" s="1">
        <v>2498134</v>
      </c>
      <c r="J2493" s="1">
        <v>2653</v>
      </c>
    </row>
    <row r="2494" spans="1:10" x14ac:dyDescent="0.3">
      <c r="A2494" t="s">
        <v>194</v>
      </c>
      <c r="B2494" t="s">
        <v>14</v>
      </c>
      <c r="C2494" t="s">
        <v>193</v>
      </c>
      <c r="D2494" t="s">
        <v>192</v>
      </c>
      <c r="E2494">
        <v>86</v>
      </c>
      <c r="F2494">
        <v>0</v>
      </c>
      <c r="G2494" s="1">
        <v>871840</v>
      </c>
      <c r="H2494" s="1">
        <v>865690</v>
      </c>
      <c r="I2494" s="1">
        <v>3159862</v>
      </c>
      <c r="J2494" s="1">
        <v>3650</v>
      </c>
    </row>
    <row r="2495" spans="1:10" x14ac:dyDescent="0.3">
      <c r="A2495" t="s">
        <v>194</v>
      </c>
      <c r="B2495" t="s">
        <v>12</v>
      </c>
      <c r="C2495" t="s">
        <v>193</v>
      </c>
      <c r="D2495" t="s">
        <v>192</v>
      </c>
      <c r="E2495">
        <v>86</v>
      </c>
      <c r="F2495">
        <v>0</v>
      </c>
      <c r="G2495" s="1">
        <v>894290</v>
      </c>
      <c r="H2495" s="1">
        <v>887240</v>
      </c>
      <c r="I2495" s="1">
        <v>2353796</v>
      </c>
      <c r="J2495" s="1">
        <v>2653</v>
      </c>
    </row>
    <row r="2496" spans="1:10" x14ac:dyDescent="0.3">
      <c r="A2496" t="s">
        <v>194</v>
      </c>
      <c r="B2496" t="s">
        <v>9</v>
      </c>
      <c r="C2496" t="s">
        <v>193</v>
      </c>
      <c r="D2496" t="s">
        <v>192</v>
      </c>
      <c r="E2496">
        <v>86</v>
      </c>
      <c r="F2496">
        <v>0</v>
      </c>
      <c r="G2496" s="1">
        <v>1028772</v>
      </c>
      <c r="H2496" s="1">
        <v>979492</v>
      </c>
      <c r="I2496" s="1">
        <v>3142543</v>
      </c>
      <c r="J2496" s="1">
        <v>3208</v>
      </c>
    </row>
    <row r="2497" spans="1:10" x14ac:dyDescent="0.3">
      <c r="A2497" t="s">
        <v>194</v>
      </c>
      <c r="B2497" t="s">
        <v>8</v>
      </c>
      <c r="C2497" t="s">
        <v>193</v>
      </c>
      <c r="D2497" t="s">
        <v>192</v>
      </c>
      <c r="E2497">
        <v>86</v>
      </c>
      <c r="F2497">
        <v>0</v>
      </c>
      <c r="G2497" s="1">
        <v>1057280</v>
      </c>
      <c r="H2497" s="1">
        <v>1051780</v>
      </c>
      <c r="I2497" s="1">
        <v>3377967</v>
      </c>
      <c r="J2497" s="1">
        <v>3212</v>
      </c>
    </row>
    <row r="2498" spans="1:10" x14ac:dyDescent="0.3">
      <c r="A2498" t="s">
        <v>194</v>
      </c>
      <c r="B2498" t="s">
        <v>7</v>
      </c>
      <c r="C2498" t="s">
        <v>193</v>
      </c>
      <c r="D2498" t="s">
        <v>192</v>
      </c>
      <c r="E2498">
        <v>86</v>
      </c>
      <c r="F2498">
        <v>0</v>
      </c>
      <c r="G2498" s="1">
        <v>1078150</v>
      </c>
      <c r="H2498" s="1">
        <v>1078150</v>
      </c>
      <c r="I2498" s="1">
        <v>3603230</v>
      </c>
      <c r="J2498" s="1">
        <v>3342</v>
      </c>
    </row>
    <row r="2499" spans="1:10" x14ac:dyDescent="0.3">
      <c r="A2499" t="s">
        <v>194</v>
      </c>
      <c r="B2499" t="s">
        <v>6</v>
      </c>
      <c r="C2499" t="s">
        <v>193</v>
      </c>
      <c r="D2499" t="s">
        <v>192</v>
      </c>
      <c r="E2499">
        <v>86</v>
      </c>
      <c r="F2499">
        <v>0</v>
      </c>
      <c r="G2499" s="1">
        <v>1078120</v>
      </c>
      <c r="H2499" s="1">
        <v>1078120</v>
      </c>
      <c r="I2499" s="1">
        <v>3340985</v>
      </c>
      <c r="J2499" s="1">
        <v>3099</v>
      </c>
    </row>
    <row r="2500" spans="1:10" x14ac:dyDescent="0.3">
      <c r="A2500" t="s">
        <v>194</v>
      </c>
      <c r="B2500" t="s">
        <v>5</v>
      </c>
      <c r="C2500" t="s">
        <v>193</v>
      </c>
      <c r="D2500" t="s">
        <v>192</v>
      </c>
      <c r="E2500">
        <v>86</v>
      </c>
      <c r="F2500">
        <v>0</v>
      </c>
      <c r="G2500" s="1">
        <v>1129500</v>
      </c>
      <c r="H2500" s="1">
        <v>1129500</v>
      </c>
      <c r="I2500" s="1">
        <v>2823432</v>
      </c>
      <c r="J2500" s="1">
        <v>2500</v>
      </c>
    </row>
    <row r="2501" spans="1:10" x14ac:dyDescent="0.3">
      <c r="A2501" t="s">
        <v>194</v>
      </c>
      <c r="B2501" t="s">
        <v>4</v>
      </c>
      <c r="C2501" t="s">
        <v>193</v>
      </c>
      <c r="D2501" t="s">
        <v>192</v>
      </c>
      <c r="E2501">
        <v>86</v>
      </c>
      <c r="F2501">
        <v>0</v>
      </c>
      <c r="G2501" s="1">
        <v>1123180</v>
      </c>
      <c r="H2501" s="1">
        <v>1105414</v>
      </c>
      <c r="I2501" s="1">
        <v>3030971</v>
      </c>
      <c r="J2501" s="1">
        <v>2742</v>
      </c>
    </row>
    <row r="2502" spans="1:10" x14ac:dyDescent="0.3">
      <c r="A2502" t="s">
        <v>194</v>
      </c>
      <c r="B2502" t="s">
        <v>3</v>
      </c>
      <c r="C2502" t="s">
        <v>193</v>
      </c>
      <c r="D2502" t="s">
        <v>192</v>
      </c>
      <c r="E2502">
        <v>86</v>
      </c>
      <c r="F2502">
        <v>0</v>
      </c>
      <c r="G2502" s="1">
        <v>1415045</v>
      </c>
      <c r="H2502" s="1">
        <v>1254863</v>
      </c>
      <c r="I2502" s="1">
        <v>2895233</v>
      </c>
      <c r="J2502" s="1">
        <v>2307</v>
      </c>
    </row>
    <row r="2503" spans="1:10" x14ac:dyDescent="0.3">
      <c r="A2503" t="s">
        <v>117</v>
      </c>
      <c r="B2503" t="s">
        <v>20</v>
      </c>
      <c r="C2503" t="s">
        <v>193</v>
      </c>
      <c r="D2503" t="s">
        <v>192</v>
      </c>
      <c r="E2503">
        <v>86</v>
      </c>
      <c r="F2503">
        <v>0</v>
      </c>
      <c r="G2503" s="1">
        <v>111225</v>
      </c>
      <c r="H2503" s="1">
        <v>105625</v>
      </c>
      <c r="I2503" s="1">
        <v>361230</v>
      </c>
      <c r="J2503" s="1">
        <v>3420</v>
      </c>
    </row>
    <row r="2504" spans="1:10" x14ac:dyDescent="0.3">
      <c r="A2504" t="s">
        <v>117</v>
      </c>
      <c r="B2504" t="s">
        <v>18</v>
      </c>
      <c r="C2504" t="s">
        <v>193</v>
      </c>
      <c r="D2504" t="s">
        <v>192</v>
      </c>
      <c r="E2504">
        <v>86</v>
      </c>
      <c r="F2504">
        <v>0</v>
      </c>
      <c r="G2504" s="1">
        <v>116000</v>
      </c>
      <c r="H2504" s="1">
        <v>94980</v>
      </c>
      <c r="I2504" s="1">
        <v>308840</v>
      </c>
      <c r="J2504" s="1">
        <v>3252</v>
      </c>
    </row>
    <row r="2505" spans="1:10" x14ac:dyDescent="0.3">
      <c r="A2505" t="s">
        <v>117</v>
      </c>
      <c r="B2505" t="s">
        <v>17</v>
      </c>
      <c r="C2505" t="s">
        <v>193</v>
      </c>
      <c r="D2505" t="s">
        <v>192</v>
      </c>
      <c r="E2505">
        <v>86</v>
      </c>
      <c r="F2505">
        <v>0</v>
      </c>
      <c r="G2505" s="1">
        <v>137000</v>
      </c>
      <c r="H2505" s="1">
        <v>134200</v>
      </c>
      <c r="I2505" s="1">
        <v>484050</v>
      </c>
      <c r="J2505" s="1">
        <v>3607</v>
      </c>
    </row>
    <row r="2506" spans="1:10" x14ac:dyDescent="0.3">
      <c r="A2506" t="s">
        <v>117</v>
      </c>
      <c r="B2506" t="s">
        <v>14</v>
      </c>
      <c r="C2506" t="s">
        <v>193</v>
      </c>
      <c r="D2506" t="s">
        <v>192</v>
      </c>
      <c r="E2506">
        <v>86</v>
      </c>
      <c r="F2506">
        <v>0</v>
      </c>
      <c r="G2506" s="1">
        <v>87600</v>
      </c>
      <c r="H2506" s="1">
        <v>75700</v>
      </c>
      <c r="I2506" s="1">
        <v>304490</v>
      </c>
      <c r="J2506" s="1">
        <v>4022</v>
      </c>
    </row>
    <row r="2507" spans="1:10" x14ac:dyDescent="0.3">
      <c r="A2507" t="s">
        <v>117</v>
      </c>
      <c r="B2507" t="s">
        <v>12</v>
      </c>
      <c r="C2507" t="s">
        <v>193</v>
      </c>
      <c r="D2507" t="s">
        <v>192</v>
      </c>
      <c r="E2507">
        <v>86</v>
      </c>
      <c r="F2507">
        <v>0</v>
      </c>
      <c r="G2507" s="1">
        <v>81200</v>
      </c>
      <c r="H2507" s="1">
        <v>53770</v>
      </c>
      <c r="I2507" s="1">
        <v>151185</v>
      </c>
      <c r="J2507" s="1">
        <v>2812</v>
      </c>
    </row>
    <row r="2508" spans="1:10" x14ac:dyDescent="0.3">
      <c r="A2508" t="s">
        <v>117</v>
      </c>
      <c r="B2508" t="s">
        <v>9</v>
      </c>
      <c r="C2508" t="s">
        <v>193</v>
      </c>
      <c r="D2508" t="s">
        <v>192</v>
      </c>
      <c r="E2508">
        <v>86</v>
      </c>
      <c r="F2508">
        <v>0</v>
      </c>
      <c r="G2508" s="1">
        <v>85500</v>
      </c>
      <c r="H2508" s="1">
        <v>53060</v>
      </c>
      <c r="I2508" s="1">
        <v>218056</v>
      </c>
      <c r="J2508" s="1">
        <v>4110</v>
      </c>
    </row>
    <row r="2509" spans="1:10" x14ac:dyDescent="0.3">
      <c r="A2509" t="s">
        <v>117</v>
      </c>
      <c r="B2509" t="s">
        <v>8</v>
      </c>
      <c r="C2509" t="s">
        <v>193</v>
      </c>
      <c r="D2509" t="s">
        <v>192</v>
      </c>
      <c r="E2509">
        <v>86</v>
      </c>
      <c r="F2509">
        <v>0</v>
      </c>
      <c r="G2509" s="1">
        <v>81000</v>
      </c>
      <c r="H2509" s="1">
        <v>66100</v>
      </c>
      <c r="I2509" s="1">
        <v>240331</v>
      </c>
      <c r="J2509" s="1">
        <v>3636</v>
      </c>
    </row>
    <row r="2510" spans="1:10" x14ac:dyDescent="0.3">
      <c r="A2510" t="s">
        <v>117</v>
      </c>
      <c r="B2510" t="s">
        <v>7</v>
      </c>
      <c r="C2510" t="s">
        <v>193</v>
      </c>
      <c r="D2510" t="s">
        <v>192</v>
      </c>
      <c r="E2510">
        <v>86</v>
      </c>
      <c r="F2510">
        <v>0</v>
      </c>
      <c r="G2510" s="1">
        <v>123800</v>
      </c>
      <c r="H2510" s="1">
        <v>98955</v>
      </c>
      <c r="I2510" s="1">
        <v>402233</v>
      </c>
      <c r="J2510" s="1">
        <v>4065</v>
      </c>
    </row>
    <row r="2511" spans="1:10" x14ac:dyDescent="0.3">
      <c r="A2511" t="s">
        <v>117</v>
      </c>
      <c r="B2511" t="s">
        <v>6</v>
      </c>
      <c r="C2511" t="s">
        <v>193</v>
      </c>
      <c r="D2511" t="s">
        <v>192</v>
      </c>
      <c r="E2511">
        <v>86</v>
      </c>
      <c r="F2511">
        <v>0</v>
      </c>
      <c r="G2511" s="1">
        <v>128362</v>
      </c>
      <c r="H2511" s="1">
        <v>99012</v>
      </c>
      <c r="I2511" s="1">
        <v>375926</v>
      </c>
      <c r="J2511" s="1">
        <v>3797</v>
      </c>
    </row>
    <row r="2512" spans="1:10" x14ac:dyDescent="0.3">
      <c r="A2512" t="s">
        <v>117</v>
      </c>
      <c r="B2512" t="s">
        <v>5</v>
      </c>
      <c r="C2512" t="s">
        <v>193</v>
      </c>
      <c r="D2512" t="s">
        <v>192</v>
      </c>
      <c r="E2512">
        <v>86</v>
      </c>
      <c r="F2512">
        <v>0</v>
      </c>
      <c r="G2512" s="1">
        <v>131650</v>
      </c>
      <c r="H2512" s="1">
        <v>96850</v>
      </c>
      <c r="I2512" s="1">
        <v>352529</v>
      </c>
      <c r="J2512" s="1">
        <v>3640</v>
      </c>
    </row>
    <row r="2513" spans="1:10" x14ac:dyDescent="0.3">
      <c r="A2513" t="s">
        <v>117</v>
      </c>
      <c r="B2513" t="s">
        <v>4</v>
      </c>
      <c r="C2513" t="s">
        <v>193</v>
      </c>
      <c r="D2513" t="s">
        <v>192</v>
      </c>
      <c r="E2513">
        <v>86</v>
      </c>
      <c r="F2513">
        <v>0</v>
      </c>
      <c r="G2513" s="1">
        <v>135450</v>
      </c>
      <c r="H2513" s="1">
        <v>101475</v>
      </c>
      <c r="I2513" s="1">
        <v>314300</v>
      </c>
      <c r="J2513" s="1">
        <v>3097</v>
      </c>
    </row>
    <row r="2514" spans="1:10" x14ac:dyDescent="0.3">
      <c r="A2514" t="s">
        <v>117</v>
      </c>
      <c r="B2514" t="s">
        <v>3</v>
      </c>
      <c r="C2514" t="s">
        <v>193</v>
      </c>
      <c r="D2514" t="s">
        <v>192</v>
      </c>
      <c r="E2514">
        <v>86</v>
      </c>
      <c r="F2514">
        <v>0</v>
      </c>
      <c r="G2514" s="1">
        <v>148920</v>
      </c>
      <c r="H2514" s="1">
        <v>109995</v>
      </c>
      <c r="I2514" s="1">
        <v>325826</v>
      </c>
      <c r="J2514" s="1">
        <v>2962</v>
      </c>
    </row>
    <row r="2515" spans="1:10" x14ac:dyDescent="0.3">
      <c r="A2515" t="s">
        <v>21</v>
      </c>
      <c r="B2515" t="s">
        <v>7</v>
      </c>
      <c r="C2515" t="s">
        <v>193</v>
      </c>
      <c r="D2515" t="s">
        <v>192</v>
      </c>
      <c r="E2515">
        <v>86</v>
      </c>
      <c r="F2515">
        <v>0</v>
      </c>
      <c r="G2515" s="1">
        <v>2674</v>
      </c>
      <c r="H2515" s="1">
        <v>2674</v>
      </c>
      <c r="I2515" s="1">
        <v>4011</v>
      </c>
      <c r="J2515" s="1">
        <v>1500</v>
      </c>
    </row>
    <row r="2516" spans="1:10" x14ac:dyDescent="0.3">
      <c r="A2516" t="s">
        <v>21</v>
      </c>
      <c r="B2516" t="s">
        <v>6</v>
      </c>
      <c r="C2516" t="s">
        <v>193</v>
      </c>
      <c r="D2516" t="s">
        <v>192</v>
      </c>
      <c r="E2516">
        <v>86</v>
      </c>
      <c r="F2516">
        <v>0</v>
      </c>
      <c r="G2516" s="1">
        <v>4400</v>
      </c>
      <c r="H2516" s="1">
        <v>3300</v>
      </c>
      <c r="I2516" s="1">
        <v>5800</v>
      </c>
      <c r="J2516" s="1">
        <v>1758</v>
      </c>
    </row>
    <row r="2517" spans="1:10" x14ac:dyDescent="0.3">
      <c r="A2517" t="s">
        <v>21</v>
      </c>
      <c r="B2517" t="s">
        <v>5</v>
      </c>
      <c r="C2517" t="s">
        <v>193</v>
      </c>
      <c r="D2517" t="s">
        <v>192</v>
      </c>
      <c r="E2517">
        <v>86</v>
      </c>
      <c r="F2517">
        <v>0</v>
      </c>
      <c r="G2517" s="1">
        <v>2900</v>
      </c>
      <c r="H2517" s="1">
        <v>2900</v>
      </c>
      <c r="I2517" s="1">
        <v>3500</v>
      </c>
      <c r="J2517" s="1">
        <v>1207</v>
      </c>
    </row>
    <row r="2518" spans="1:10" x14ac:dyDescent="0.3">
      <c r="A2518" t="s">
        <v>21</v>
      </c>
      <c r="B2518" t="s">
        <v>4</v>
      </c>
      <c r="C2518" t="s">
        <v>193</v>
      </c>
      <c r="D2518" t="s">
        <v>192</v>
      </c>
      <c r="E2518">
        <v>86</v>
      </c>
      <c r="F2518">
        <v>0</v>
      </c>
      <c r="G2518" s="1">
        <v>3200</v>
      </c>
      <c r="H2518" s="1">
        <v>3200</v>
      </c>
      <c r="I2518" s="1">
        <v>5650</v>
      </c>
      <c r="J2518" s="1">
        <v>1766</v>
      </c>
    </row>
    <row r="2519" spans="1:10" x14ac:dyDescent="0.3">
      <c r="A2519" t="s">
        <v>21</v>
      </c>
      <c r="B2519" t="s">
        <v>3</v>
      </c>
      <c r="C2519" t="s">
        <v>193</v>
      </c>
      <c r="D2519" t="s">
        <v>192</v>
      </c>
      <c r="E2519">
        <v>86</v>
      </c>
      <c r="F2519">
        <v>0</v>
      </c>
      <c r="G2519" s="1">
        <v>3200</v>
      </c>
      <c r="H2519" s="1">
        <v>3050</v>
      </c>
      <c r="I2519" s="1">
        <v>3316</v>
      </c>
      <c r="J2519" s="1">
        <v>1087</v>
      </c>
    </row>
    <row r="2520" spans="1:10" x14ac:dyDescent="0.3">
      <c r="A2520" t="s">
        <v>21</v>
      </c>
      <c r="B2520" t="s">
        <v>0</v>
      </c>
      <c r="C2520" t="s">
        <v>193</v>
      </c>
      <c r="D2520" t="s">
        <v>192</v>
      </c>
      <c r="E2520">
        <v>86</v>
      </c>
      <c r="F2520">
        <v>0</v>
      </c>
      <c r="G2520" s="1">
        <v>3200</v>
      </c>
      <c r="H2520" s="1">
        <v>2800</v>
      </c>
      <c r="I2520" s="1">
        <v>2506</v>
      </c>
      <c r="J2520" s="1">
        <v>895</v>
      </c>
    </row>
    <row r="2521" spans="1:10" x14ac:dyDescent="0.3">
      <c r="A2521" t="s">
        <v>19</v>
      </c>
      <c r="B2521" t="s">
        <v>20</v>
      </c>
      <c r="C2521" t="s">
        <v>193</v>
      </c>
      <c r="D2521" t="s">
        <v>192</v>
      </c>
      <c r="E2521">
        <v>86</v>
      </c>
      <c r="F2521">
        <v>0</v>
      </c>
      <c r="G2521" s="1">
        <v>51050</v>
      </c>
      <c r="H2521" s="1">
        <v>17880</v>
      </c>
      <c r="I2521" s="1">
        <v>12700</v>
      </c>
      <c r="J2521" s="1">
        <v>710</v>
      </c>
    </row>
    <row r="2522" spans="1:10" x14ac:dyDescent="0.3">
      <c r="A2522" t="s">
        <v>19</v>
      </c>
      <c r="B2522" t="s">
        <v>18</v>
      </c>
      <c r="C2522" t="s">
        <v>193</v>
      </c>
      <c r="D2522" t="s">
        <v>192</v>
      </c>
      <c r="E2522">
        <v>86</v>
      </c>
      <c r="F2522">
        <v>0</v>
      </c>
      <c r="G2522" s="1">
        <v>150000</v>
      </c>
      <c r="H2522" s="1">
        <v>85400</v>
      </c>
      <c r="I2522" s="1">
        <v>113080</v>
      </c>
      <c r="J2522" s="1">
        <v>1324</v>
      </c>
    </row>
    <row r="2523" spans="1:10" x14ac:dyDescent="0.3">
      <c r="A2523" t="s">
        <v>19</v>
      </c>
      <c r="B2523" t="s">
        <v>17</v>
      </c>
      <c r="C2523" t="s">
        <v>193</v>
      </c>
      <c r="D2523" t="s">
        <v>192</v>
      </c>
      <c r="E2523">
        <v>86</v>
      </c>
      <c r="F2523">
        <v>0</v>
      </c>
      <c r="G2523" s="1">
        <v>245550</v>
      </c>
      <c r="H2523" s="1">
        <v>219050</v>
      </c>
      <c r="I2523" s="1">
        <v>439420</v>
      </c>
      <c r="J2523" s="1">
        <v>2006</v>
      </c>
    </row>
    <row r="2524" spans="1:10" x14ac:dyDescent="0.3">
      <c r="A2524" t="s">
        <v>19</v>
      </c>
      <c r="B2524" t="s">
        <v>14</v>
      </c>
      <c r="C2524" t="s">
        <v>193</v>
      </c>
      <c r="D2524" t="s">
        <v>192</v>
      </c>
      <c r="E2524">
        <v>86</v>
      </c>
      <c r="F2524">
        <v>0</v>
      </c>
      <c r="G2524" s="1">
        <v>328900</v>
      </c>
      <c r="H2524" s="1">
        <v>216940</v>
      </c>
      <c r="I2524" s="1">
        <v>545022</v>
      </c>
      <c r="J2524" s="1">
        <v>2512</v>
      </c>
    </row>
    <row r="2525" spans="1:10" x14ac:dyDescent="0.3">
      <c r="A2525" t="s">
        <v>19</v>
      </c>
      <c r="B2525" t="s">
        <v>12</v>
      </c>
      <c r="C2525" t="s">
        <v>193</v>
      </c>
      <c r="D2525" t="s">
        <v>192</v>
      </c>
      <c r="E2525">
        <v>86</v>
      </c>
      <c r="F2525">
        <v>0</v>
      </c>
      <c r="G2525" s="1">
        <v>533860</v>
      </c>
      <c r="H2525" s="1">
        <v>533860</v>
      </c>
      <c r="I2525" s="1">
        <v>1115157</v>
      </c>
      <c r="J2525" s="1">
        <v>2089</v>
      </c>
    </row>
    <row r="2526" spans="1:10" x14ac:dyDescent="0.3">
      <c r="A2526" t="s">
        <v>19</v>
      </c>
      <c r="B2526" t="s">
        <v>9</v>
      </c>
      <c r="C2526" t="s">
        <v>193</v>
      </c>
      <c r="D2526" t="s">
        <v>192</v>
      </c>
      <c r="E2526">
        <v>86</v>
      </c>
      <c r="F2526">
        <v>0</v>
      </c>
      <c r="G2526" s="1">
        <v>327932</v>
      </c>
      <c r="H2526" s="1">
        <v>327932</v>
      </c>
      <c r="I2526" s="1">
        <v>709340</v>
      </c>
      <c r="J2526" s="1">
        <v>2163</v>
      </c>
    </row>
    <row r="2527" spans="1:10" x14ac:dyDescent="0.3">
      <c r="A2527" t="s">
        <v>19</v>
      </c>
      <c r="B2527" t="s">
        <v>8</v>
      </c>
      <c r="C2527" t="s">
        <v>193</v>
      </c>
      <c r="D2527" t="s">
        <v>192</v>
      </c>
      <c r="E2527">
        <v>86</v>
      </c>
      <c r="F2527">
        <v>0</v>
      </c>
      <c r="G2527" s="1">
        <v>500300</v>
      </c>
      <c r="H2527" s="1">
        <v>500300</v>
      </c>
      <c r="I2527" s="1">
        <v>1380730</v>
      </c>
      <c r="J2527" s="1">
        <v>2760</v>
      </c>
    </row>
    <row r="2528" spans="1:10" x14ac:dyDescent="0.3">
      <c r="A2528" t="s">
        <v>19</v>
      </c>
      <c r="B2528" t="s">
        <v>7</v>
      </c>
      <c r="C2528" t="s">
        <v>193</v>
      </c>
      <c r="D2528" t="s">
        <v>192</v>
      </c>
      <c r="E2528">
        <v>86</v>
      </c>
      <c r="F2528">
        <v>0</v>
      </c>
      <c r="G2528" s="1">
        <v>395974</v>
      </c>
      <c r="H2528" s="1">
        <v>315374</v>
      </c>
      <c r="I2528" s="1">
        <v>468401</v>
      </c>
      <c r="J2528" s="1">
        <v>1485</v>
      </c>
    </row>
    <row r="2529" spans="1:10" x14ac:dyDescent="0.3">
      <c r="A2529" t="s">
        <v>19</v>
      </c>
      <c r="B2529" t="s">
        <v>6</v>
      </c>
      <c r="C2529" t="s">
        <v>193</v>
      </c>
      <c r="D2529" t="s">
        <v>192</v>
      </c>
      <c r="E2529">
        <v>86</v>
      </c>
      <c r="F2529">
        <v>0</v>
      </c>
      <c r="G2529" s="1">
        <v>506780</v>
      </c>
      <c r="H2529" s="1">
        <v>461180</v>
      </c>
      <c r="I2529" s="1">
        <v>694135</v>
      </c>
      <c r="J2529" s="1">
        <v>1505</v>
      </c>
    </row>
    <row r="2530" spans="1:10" x14ac:dyDescent="0.3">
      <c r="A2530" t="s">
        <v>19</v>
      </c>
      <c r="B2530" t="s">
        <v>5</v>
      </c>
      <c r="C2530" t="s">
        <v>193</v>
      </c>
      <c r="D2530" t="s">
        <v>192</v>
      </c>
      <c r="E2530">
        <v>86</v>
      </c>
      <c r="F2530">
        <v>0</v>
      </c>
      <c r="G2530" s="1">
        <v>264370</v>
      </c>
      <c r="H2530" s="1">
        <v>187450</v>
      </c>
      <c r="I2530" s="1">
        <v>253363</v>
      </c>
      <c r="J2530" s="1">
        <v>1352</v>
      </c>
    </row>
    <row r="2531" spans="1:10" x14ac:dyDescent="0.3">
      <c r="A2531" t="s">
        <v>19</v>
      </c>
      <c r="B2531" t="s">
        <v>4</v>
      </c>
      <c r="C2531" t="s">
        <v>193</v>
      </c>
      <c r="D2531" t="s">
        <v>192</v>
      </c>
      <c r="E2531">
        <v>86</v>
      </c>
      <c r="F2531">
        <v>0</v>
      </c>
      <c r="G2531" s="1">
        <v>339480</v>
      </c>
      <c r="H2531" s="1">
        <v>334860</v>
      </c>
      <c r="I2531" s="1">
        <v>474562</v>
      </c>
      <c r="J2531" s="1">
        <v>1417</v>
      </c>
    </row>
    <row r="2532" spans="1:10" x14ac:dyDescent="0.3">
      <c r="A2532" t="s">
        <v>19</v>
      </c>
      <c r="B2532" t="s">
        <v>3</v>
      </c>
      <c r="C2532" t="s">
        <v>193</v>
      </c>
      <c r="D2532" t="s">
        <v>192</v>
      </c>
      <c r="E2532">
        <v>86</v>
      </c>
      <c r="F2532">
        <v>0</v>
      </c>
      <c r="G2532" s="1">
        <v>441340</v>
      </c>
      <c r="H2532" s="1">
        <v>394965</v>
      </c>
      <c r="I2532" s="1">
        <v>433058</v>
      </c>
      <c r="J2532" s="1">
        <v>1096</v>
      </c>
    </row>
    <row r="2533" spans="1:10" x14ac:dyDescent="0.3">
      <c r="A2533" t="s">
        <v>19</v>
      </c>
      <c r="B2533" t="s">
        <v>0</v>
      </c>
      <c r="C2533" t="s">
        <v>193</v>
      </c>
      <c r="D2533" t="s">
        <v>192</v>
      </c>
      <c r="E2533">
        <v>86</v>
      </c>
      <c r="F2533">
        <v>0</v>
      </c>
      <c r="G2533" s="1">
        <v>403484</v>
      </c>
      <c r="H2533" s="1">
        <v>396659</v>
      </c>
      <c r="I2533" s="1">
        <v>805857</v>
      </c>
      <c r="J2533" s="1">
        <v>2032</v>
      </c>
    </row>
  </sheetData>
  <autoFilter ref="A1:J2533">
    <sortState ref="A958:J2465">
      <sortCondition ref="B1:B253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8"/>
  <sheetViews>
    <sheetView workbookViewId="0">
      <pane ySplit="1" topLeftCell="A372" activePane="bottomLeft" state="frozen"/>
      <selection pane="bottomLeft" activeCell="I392" sqref="I392"/>
    </sheetView>
  </sheetViews>
  <sheetFormatPr baseColWidth="10" defaultRowHeight="14.4" x14ac:dyDescent="0.3"/>
  <cols>
    <col min="1" max="1" width="12" bestFit="1" customWidth="1"/>
    <col min="2" max="2" width="11.21875" bestFit="1" customWidth="1"/>
    <col min="3" max="3" width="11" bestFit="1" customWidth="1"/>
    <col min="4" max="4" width="15.44140625" bestFit="1" customWidth="1"/>
    <col min="5" max="5" width="12.5546875" bestFit="1" customWidth="1"/>
    <col min="6" max="6" width="17" bestFit="1" customWidth="1"/>
    <col min="7" max="7" width="20.109375" bestFit="1" customWidth="1"/>
    <col min="8" max="8" width="20.6640625" bestFit="1" customWidth="1"/>
    <col min="9" max="9" width="16.6640625" bestFit="1" customWidth="1"/>
    <col min="10" max="10" width="21.109375" bestFit="1" customWidth="1"/>
  </cols>
  <sheetData>
    <row r="1" spans="1:10" s="11" customFormat="1" x14ac:dyDescent="0.3">
      <c r="A1" s="11" t="s">
        <v>206</v>
      </c>
      <c r="B1" s="11" t="s">
        <v>128</v>
      </c>
      <c r="C1" s="11" t="s">
        <v>205</v>
      </c>
      <c r="D1" s="11" t="s">
        <v>82</v>
      </c>
      <c r="E1" s="11" t="s">
        <v>204</v>
      </c>
      <c r="F1" s="11" t="s">
        <v>203</v>
      </c>
      <c r="G1" s="9" t="s">
        <v>135</v>
      </c>
      <c r="H1" s="9" t="s">
        <v>134</v>
      </c>
      <c r="I1" s="9" t="s">
        <v>130</v>
      </c>
      <c r="J1" s="9" t="s">
        <v>129</v>
      </c>
    </row>
    <row r="2" spans="1:10" x14ac:dyDescent="0.3">
      <c r="A2" t="s">
        <v>16</v>
      </c>
      <c r="B2" t="s">
        <v>3</v>
      </c>
      <c r="C2" t="s">
        <v>241</v>
      </c>
      <c r="D2" t="s">
        <v>251</v>
      </c>
      <c r="E2">
        <v>90</v>
      </c>
      <c r="F2">
        <v>7</v>
      </c>
      <c r="G2" s="1">
        <v>400</v>
      </c>
      <c r="H2" s="1">
        <v>400</v>
      </c>
      <c r="I2" s="1">
        <v>360</v>
      </c>
      <c r="J2" s="1">
        <v>900</v>
      </c>
    </row>
    <row r="3" spans="1:10" x14ac:dyDescent="0.3">
      <c r="A3" t="s">
        <v>16</v>
      </c>
      <c r="B3" t="s">
        <v>3</v>
      </c>
      <c r="C3" t="s">
        <v>241</v>
      </c>
      <c r="D3" t="s">
        <v>250</v>
      </c>
      <c r="E3">
        <v>90</v>
      </c>
      <c r="F3">
        <v>14</v>
      </c>
      <c r="G3" s="1">
        <v>140</v>
      </c>
      <c r="H3" s="1">
        <v>140</v>
      </c>
      <c r="I3" s="1">
        <v>168</v>
      </c>
      <c r="J3" s="1">
        <v>1200</v>
      </c>
    </row>
    <row r="4" spans="1:10" x14ac:dyDescent="0.3">
      <c r="A4" t="s">
        <v>16</v>
      </c>
      <c r="B4" t="s">
        <v>3</v>
      </c>
      <c r="C4" t="s">
        <v>241</v>
      </c>
      <c r="D4" t="s">
        <v>248</v>
      </c>
      <c r="E4">
        <v>90</v>
      </c>
      <c r="F4">
        <v>35</v>
      </c>
      <c r="G4" s="1">
        <v>250</v>
      </c>
      <c r="H4" s="1">
        <v>230</v>
      </c>
      <c r="I4" s="1">
        <v>230</v>
      </c>
      <c r="J4" s="1">
        <v>1000</v>
      </c>
    </row>
    <row r="5" spans="1:10" x14ac:dyDescent="0.3">
      <c r="A5" t="s">
        <v>16</v>
      </c>
      <c r="B5" t="s">
        <v>3</v>
      </c>
      <c r="C5" t="s">
        <v>241</v>
      </c>
      <c r="D5" t="s">
        <v>246</v>
      </c>
      <c r="E5">
        <v>90</v>
      </c>
      <c r="F5">
        <v>49</v>
      </c>
      <c r="G5" s="1">
        <v>300</v>
      </c>
      <c r="H5" s="1">
        <v>260</v>
      </c>
      <c r="I5" s="1">
        <v>286</v>
      </c>
      <c r="J5" s="1">
        <v>1100</v>
      </c>
    </row>
    <row r="6" spans="1:10" x14ac:dyDescent="0.3">
      <c r="A6" t="s">
        <v>16</v>
      </c>
      <c r="B6" t="s">
        <v>3</v>
      </c>
      <c r="C6" t="s">
        <v>241</v>
      </c>
      <c r="D6" t="s">
        <v>245</v>
      </c>
      <c r="E6">
        <v>90</v>
      </c>
      <c r="F6">
        <v>56</v>
      </c>
      <c r="G6" s="1">
        <v>250</v>
      </c>
      <c r="H6" s="1">
        <v>250</v>
      </c>
      <c r="I6" s="1">
        <v>275</v>
      </c>
      <c r="J6" s="1">
        <v>1100</v>
      </c>
    </row>
    <row r="7" spans="1:10" x14ac:dyDescent="0.3">
      <c r="A7" t="s">
        <v>16</v>
      </c>
      <c r="B7" t="s">
        <v>3</v>
      </c>
      <c r="C7" t="s">
        <v>241</v>
      </c>
      <c r="D7" t="s">
        <v>252</v>
      </c>
      <c r="E7">
        <v>90</v>
      </c>
      <c r="F7">
        <v>112</v>
      </c>
      <c r="G7" s="1">
        <v>50</v>
      </c>
      <c r="H7" s="1">
        <v>0</v>
      </c>
      <c r="I7" s="1">
        <v>0</v>
      </c>
      <c r="J7" s="1">
        <v>0</v>
      </c>
    </row>
    <row r="8" spans="1:10" x14ac:dyDescent="0.3">
      <c r="A8" t="s">
        <v>11</v>
      </c>
      <c r="B8" t="s">
        <v>3</v>
      </c>
      <c r="C8" t="s">
        <v>241</v>
      </c>
      <c r="D8" t="s">
        <v>251</v>
      </c>
      <c r="E8">
        <v>90</v>
      </c>
      <c r="F8">
        <v>7</v>
      </c>
      <c r="G8" s="1">
        <v>400</v>
      </c>
      <c r="H8" s="1">
        <v>400</v>
      </c>
      <c r="I8" s="1">
        <v>440</v>
      </c>
      <c r="J8" s="1">
        <v>1100</v>
      </c>
    </row>
    <row r="9" spans="1:10" x14ac:dyDescent="0.3">
      <c r="A9" t="s">
        <v>11</v>
      </c>
      <c r="B9" t="s">
        <v>3</v>
      </c>
      <c r="C9" t="s">
        <v>241</v>
      </c>
      <c r="D9" t="s">
        <v>250</v>
      </c>
      <c r="E9">
        <v>90</v>
      </c>
      <c r="F9">
        <v>14</v>
      </c>
      <c r="G9" s="1">
        <v>290</v>
      </c>
      <c r="H9" s="1">
        <v>290</v>
      </c>
      <c r="I9" s="1">
        <v>348</v>
      </c>
      <c r="J9" s="1">
        <v>1200</v>
      </c>
    </row>
    <row r="10" spans="1:10" x14ac:dyDescent="0.3">
      <c r="A10" t="s">
        <v>11</v>
      </c>
      <c r="B10" t="s">
        <v>3</v>
      </c>
      <c r="C10" t="s">
        <v>241</v>
      </c>
      <c r="D10" t="s">
        <v>248</v>
      </c>
      <c r="E10">
        <v>90</v>
      </c>
      <c r="F10">
        <v>35</v>
      </c>
      <c r="G10" s="1">
        <v>200</v>
      </c>
      <c r="H10" s="1">
        <v>200</v>
      </c>
      <c r="I10" s="1">
        <v>220</v>
      </c>
      <c r="J10" s="1">
        <v>1100</v>
      </c>
    </row>
    <row r="11" spans="1:10" x14ac:dyDescent="0.3">
      <c r="A11" t="s">
        <v>10</v>
      </c>
      <c r="B11" t="s">
        <v>3</v>
      </c>
      <c r="C11" t="s">
        <v>241</v>
      </c>
      <c r="D11" t="s">
        <v>248</v>
      </c>
      <c r="E11">
        <v>90</v>
      </c>
      <c r="F11">
        <v>35</v>
      </c>
      <c r="G11" s="1">
        <v>40</v>
      </c>
      <c r="H11" s="1">
        <v>40</v>
      </c>
      <c r="I11" s="1">
        <v>44</v>
      </c>
      <c r="J11" s="1">
        <v>1100</v>
      </c>
    </row>
    <row r="12" spans="1:10" x14ac:dyDescent="0.3">
      <c r="A12" t="s">
        <v>10</v>
      </c>
      <c r="B12" t="s">
        <v>3</v>
      </c>
      <c r="C12" t="s">
        <v>241</v>
      </c>
      <c r="D12" t="s">
        <v>246</v>
      </c>
      <c r="E12">
        <v>90</v>
      </c>
      <c r="F12">
        <v>49</v>
      </c>
      <c r="G12" s="1">
        <v>180</v>
      </c>
      <c r="H12" s="1">
        <v>180</v>
      </c>
      <c r="I12" s="1">
        <v>198</v>
      </c>
      <c r="J12" s="1">
        <v>1100</v>
      </c>
    </row>
    <row r="13" spans="1:10" x14ac:dyDescent="0.3">
      <c r="A13" t="s">
        <v>1</v>
      </c>
      <c r="B13" t="s">
        <v>3</v>
      </c>
      <c r="C13" t="s">
        <v>241</v>
      </c>
      <c r="D13" t="s">
        <v>251</v>
      </c>
      <c r="E13">
        <v>90</v>
      </c>
      <c r="F13">
        <v>7</v>
      </c>
      <c r="G13" s="1">
        <v>7500</v>
      </c>
      <c r="H13" s="1">
        <v>7390</v>
      </c>
      <c r="I13" s="1">
        <v>7390</v>
      </c>
      <c r="J13" s="1">
        <v>1000</v>
      </c>
    </row>
    <row r="14" spans="1:10" x14ac:dyDescent="0.3">
      <c r="A14" t="s">
        <v>1</v>
      </c>
      <c r="B14" t="s">
        <v>3</v>
      </c>
      <c r="C14" t="s">
        <v>241</v>
      </c>
      <c r="D14" t="s">
        <v>250</v>
      </c>
      <c r="E14">
        <v>90</v>
      </c>
      <c r="F14">
        <v>14</v>
      </c>
      <c r="G14" s="1">
        <v>3400</v>
      </c>
      <c r="H14" s="1">
        <v>3370</v>
      </c>
      <c r="I14" s="1">
        <v>4044</v>
      </c>
      <c r="J14" s="1">
        <v>1200</v>
      </c>
    </row>
    <row r="15" spans="1:10" x14ac:dyDescent="0.3">
      <c r="A15" t="s">
        <v>1</v>
      </c>
      <c r="B15" t="s">
        <v>3</v>
      </c>
      <c r="C15" t="s">
        <v>241</v>
      </c>
      <c r="D15" t="s">
        <v>248</v>
      </c>
      <c r="E15">
        <v>90</v>
      </c>
      <c r="F15">
        <v>35</v>
      </c>
      <c r="G15" s="1">
        <v>950</v>
      </c>
      <c r="H15" s="1">
        <v>910</v>
      </c>
      <c r="I15" s="1">
        <v>910</v>
      </c>
      <c r="J15" s="1">
        <v>1000</v>
      </c>
    </row>
    <row r="16" spans="1:10" x14ac:dyDescent="0.3">
      <c r="A16" t="s">
        <v>1</v>
      </c>
      <c r="B16" t="s">
        <v>3</v>
      </c>
      <c r="C16" t="s">
        <v>241</v>
      </c>
      <c r="D16" t="s">
        <v>246</v>
      </c>
      <c r="E16">
        <v>90</v>
      </c>
      <c r="F16">
        <v>49</v>
      </c>
      <c r="G16" s="1">
        <v>2200</v>
      </c>
      <c r="H16" s="1">
        <v>2070</v>
      </c>
      <c r="I16" s="1">
        <v>2070</v>
      </c>
      <c r="J16" s="1">
        <v>1000</v>
      </c>
    </row>
    <row r="17" spans="1:10" x14ac:dyDescent="0.3">
      <c r="A17" t="s">
        <v>1</v>
      </c>
      <c r="B17" t="s">
        <v>3</v>
      </c>
      <c r="C17" t="s">
        <v>241</v>
      </c>
      <c r="D17" t="s">
        <v>245</v>
      </c>
      <c r="E17">
        <v>90</v>
      </c>
      <c r="F17">
        <v>56</v>
      </c>
      <c r="G17" s="1">
        <v>1600</v>
      </c>
      <c r="H17" s="1">
        <v>1480</v>
      </c>
      <c r="I17" s="1">
        <v>1628</v>
      </c>
      <c r="J17" s="1">
        <v>1100</v>
      </c>
    </row>
    <row r="18" spans="1:10" x14ac:dyDescent="0.3">
      <c r="A18" t="s">
        <v>1</v>
      </c>
      <c r="B18" t="s">
        <v>3</v>
      </c>
      <c r="C18" t="s">
        <v>241</v>
      </c>
      <c r="D18" t="s">
        <v>252</v>
      </c>
      <c r="E18">
        <v>90</v>
      </c>
      <c r="F18">
        <v>112</v>
      </c>
      <c r="G18" s="1">
        <v>100</v>
      </c>
      <c r="H18" s="1">
        <v>100</v>
      </c>
      <c r="I18" s="1">
        <v>90</v>
      </c>
      <c r="J18" s="1">
        <v>900</v>
      </c>
    </row>
    <row r="19" spans="1:10" x14ac:dyDescent="0.3">
      <c r="A19" t="s">
        <v>120</v>
      </c>
      <c r="B19" t="s">
        <v>3</v>
      </c>
      <c r="C19" t="s">
        <v>241</v>
      </c>
      <c r="D19" t="s">
        <v>251</v>
      </c>
      <c r="E19">
        <v>90</v>
      </c>
      <c r="F19">
        <v>7</v>
      </c>
      <c r="G19" s="1">
        <v>100</v>
      </c>
      <c r="H19" s="1">
        <v>100</v>
      </c>
      <c r="I19" s="1">
        <v>250</v>
      </c>
      <c r="J19" s="1">
        <v>2500</v>
      </c>
    </row>
    <row r="20" spans="1:10" x14ac:dyDescent="0.3">
      <c r="A20" t="s">
        <v>120</v>
      </c>
      <c r="B20" t="s">
        <v>3</v>
      </c>
      <c r="C20" t="s">
        <v>241</v>
      </c>
      <c r="D20" t="s">
        <v>246</v>
      </c>
      <c r="E20">
        <v>90</v>
      </c>
      <c r="F20">
        <v>49</v>
      </c>
      <c r="G20" s="1">
        <v>150</v>
      </c>
      <c r="H20" s="1">
        <v>150</v>
      </c>
      <c r="I20" s="1">
        <v>375</v>
      </c>
      <c r="J20" s="1">
        <v>2500</v>
      </c>
    </row>
    <row r="21" spans="1:10" x14ac:dyDescent="0.3">
      <c r="A21" t="s">
        <v>119</v>
      </c>
      <c r="B21" t="s">
        <v>3</v>
      </c>
      <c r="C21" t="s">
        <v>241</v>
      </c>
      <c r="D21" t="s">
        <v>251</v>
      </c>
      <c r="E21">
        <v>90</v>
      </c>
      <c r="F21">
        <v>7</v>
      </c>
      <c r="G21" s="1">
        <v>33000</v>
      </c>
      <c r="H21" s="1">
        <v>29250</v>
      </c>
      <c r="I21" s="1">
        <v>140400</v>
      </c>
      <c r="J21" s="1">
        <v>4800</v>
      </c>
    </row>
    <row r="22" spans="1:10" x14ac:dyDescent="0.3">
      <c r="A22" t="s">
        <v>119</v>
      </c>
      <c r="B22" t="s">
        <v>3</v>
      </c>
      <c r="C22" t="s">
        <v>241</v>
      </c>
      <c r="D22" t="s">
        <v>250</v>
      </c>
      <c r="E22">
        <v>90</v>
      </c>
      <c r="F22">
        <v>14</v>
      </c>
      <c r="G22" s="1">
        <v>9000</v>
      </c>
      <c r="H22" s="1">
        <v>8260</v>
      </c>
      <c r="I22" s="1">
        <v>41300</v>
      </c>
      <c r="J22" s="1">
        <v>5000</v>
      </c>
    </row>
    <row r="23" spans="1:10" x14ac:dyDescent="0.3">
      <c r="A23" t="s">
        <v>119</v>
      </c>
      <c r="B23" t="s">
        <v>3</v>
      </c>
      <c r="C23" t="s">
        <v>241</v>
      </c>
      <c r="D23" t="s">
        <v>248</v>
      </c>
      <c r="E23">
        <v>90</v>
      </c>
      <c r="F23">
        <v>35</v>
      </c>
      <c r="G23" s="1">
        <v>6000</v>
      </c>
      <c r="H23" s="1">
        <v>5450</v>
      </c>
      <c r="I23" s="1">
        <v>24525</v>
      </c>
      <c r="J23" s="1">
        <v>4500</v>
      </c>
    </row>
    <row r="24" spans="1:10" x14ac:dyDescent="0.3">
      <c r="A24" t="s">
        <v>119</v>
      </c>
      <c r="B24" t="s">
        <v>3</v>
      </c>
      <c r="C24" t="s">
        <v>241</v>
      </c>
      <c r="D24" t="s">
        <v>246</v>
      </c>
      <c r="E24">
        <v>90</v>
      </c>
      <c r="F24">
        <v>49</v>
      </c>
      <c r="G24" s="1">
        <v>3600</v>
      </c>
      <c r="H24" s="1">
        <v>2970</v>
      </c>
      <c r="I24" s="1">
        <v>13365</v>
      </c>
      <c r="J24" s="1">
        <v>4500</v>
      </c>
    </row>
    <row r="25" spans="1:10" x14ac:dyDescent="0.3">
      <c r="A25" t="s">
        <v>119</v>
      </c>
      <c r="B25" t="s">
        <v>3</v>
      </c>
      <c r="C25" t="s">
        <v>241</v>
      </c>
      <c r="D25" t="s">
        <v>245</v>
      </c>
      <c r="E25">
        <v>90</v>
      </c>
      <c r="F25">
        <v>56</v>
      </c>
      <c r="G25" s="1">
        <v>10000</v>
      </c>
      <c r="H25" s="1">
        <v>9130</v>
      </c>
      <c r="I25" s="1">
        <v>43824</v>
      </c>
      <c r="J25" s="1">
        <v>4800</v>
      </c>
    </row>
    <row r="26" spans="1:10" x14ac:dyDescent="0.3">
      <c r="A26" t="s">
        <v>119</v>
      </c>
      <c r="B26" t="s">
        <v>3</v>
      </c>
      <c r="C26" t="s">
        <v>241</v>
      </c>
      <c r="D26" t="s">
        <v>243</v>
      </c>
      <c r="E26">
        <v>90</v>
      </c>
      <c r="F26">
        <v>91</v>
      </c>
      <c r="G26" s="1">
        <v>400</v>
      </c>
      <c r="H26" s="1">
        <v>400</v>
      </c>
      <c r="I26" s="1">
        <v>1640</v>
      </c>
      <c r="J26" s="1">
        <v>4100</v>
      </c>
    </row>
    <row r="27" spans="1:10" x14ac:dyDescent="0.3">
      <c r="A27" t="s">
        <v>119</v>
      </c>
      <c r="B27" t="s">
        <v>3</v>
      </c>
      <c r="C27" t="s">
        <v>241</v>
      </c>
      <c r="D27" t="s">
        <v>256</v>
      </c>
      <c r="E27">
        <v>90</v>
      </c>
      <c r="F27">
        <v>98</v>
      </c>
      <c r="G27" s="1">
        <v>80</v>
      </c>
      <c r="H27" s="1">
        <v>0</v>
      </c>
      <c r="I27" s="1">
        <v>0</v>
      </c>
      <c r="J27" s="1">
        <v>0</v>
      </c>
    </row>
    <row r="28" spans="1:10" x14ac:dyDescent="0.3">
      <c r="A28" t="s">
        <v>119</v>
      </c>
      <c r="B28" t="s">
        <v>3</v>
      </c>
      <c r="C28" t="s">
        <v>241</v>
      </c>
      <c r="D28" t="s">
        <v>252</v>
      </c>
      <c r="E28">
        <v>90</v>
      </c>
      <c r="F28">
        <v>112</v>
      </c>
      <c r="G28" s="1">
        <v>850</v>
      </c>
      <c r="H28" s="1">
        <v>180</v>
      </c>
      <c r="I28" s="1">
        <v>900</v>
      </c>
      <c r="J28" s="1">
        <v>5000</v>
      </c>
    </row>
    <row r="29" spans="1:10" x14ac:dyDescent="0.3">
      <c r="A29" t="s">
        <v>201</v>
      </c>
      <c r="B29" t="s">
        <v>3</v>
      </c>
      <c r="C29" t="s">
        <v>241</v>
      </c>
      <c r="D29" t="s">
        <v>246</v>
      </c>
      <c r="E29">
        <v>90</v>
      </c>
      <c r="F29">
        <v>49</v>
      </c>
      <c r="G29" s="1">
        <v>1100</v>
      </c>
      <c r="H29" s="1">
        <v>1100</v>
      </c>
      <c r="I29" s="1">
        <v>2068</v>
      </c>
      <c r="J29" s="1">
        <v>1880</v>
      </c>
    </row>
    <row r="30" spans="1:10" x14ac:dyDescent="0.3">
      <c r="A30" t="s">
        <v>201</v>
      </c>
      <c r="B30" t="s">
        <v>3</v>
      </c>
      <c r="C30" t="s">
        <v>241</v>
      </c>
      <c r="D30" t="s">
        <v>245</v>
      </c>
      <c r="E30">
        <v>90</v>
      </c>
      <c r="F30">
        <v>56</v>
      </c>
      <c r="G30" s="1">
        <v>700</v>
      </c>
      <c r="H30" s="1">
        <v>700</v>
      </c>
      <c r="I30" s="1">
        <v>1386</v>
      </c>
      <c r="J30" s="1">
        <v>1980</v>
      </c>
    </row>
    <row r="31" spans="1:10" x14ac:dyDescent="0.3">
      <c r="A31" t="s">
        <v>201</v>
      </c>
      <c r="B31" t="s">
        <v>3</v>
      </c>
      <c r="C31" t="s">
        <v>241</v>
      </c>
      <c r="D31" t="s">
        <v>243</v>
      </c>
      <c r="E31">
        <v>90</v>
      </c>
      <c r="F31">
        <v>91</v>
      </c>
      <c r="G31" s="1">
        <v>250</v>
      </c>
      <c r="H31" s="1">
        <v>250</v>
      </c>
      <c r="I31" s="1">
        <v>445</v>
      </c>
      <c r="J31" s="1">
        <v>1780</v>
      </c>
    </row>
    <row r="32" spans="1:10" x14ac:dyDescent="0.3">
      <c r="A32" t="s">
        <v>222</v>
      </c>
      <c r="B32" t="s">
        <v>3</v>
      </c>
      <c r="C32" t="s">
        <v>241</v>
      </c>
      <c r="D32" t="s">
        <v>251</v>
      </c>
      <c r="E32">
        <v>90</v>
      </c>
      <c r="F32">
        <v>7</v>
      </c>
      <c r="G32" s="1">
        <v>500</v>
      </c>
      <c r="H32" s="1">
        <v>420</v>
      </c>
      <c r="I32" s="1">
        <v>252</v>
      </c>
      <c r="J32" s="1">
        <v>600</v>
      </c>
    </row>
    <row r="33" spans="1:10" x14ac:dyDescent="0.3">
      <c r="A33" t="s">
        <v>222</v>
      </c>
      <c r="B33" t="s">
        <v>3</v>
      </c>
      <c r="C33" t="s">
        <v>241</v>
      </c>
      <c r="D33" t="s">
        <v>246</v>
      </c>
      <c r="E33">
        <v>90</v>
      </c>
      <c r="F33">
        <v>49</v>
      </c>
      <c r="G33" s="1">
        <v>400</v>
      </c>
      <c r="H33" s="1">
        <v>380</v>
      </c>
      <c r="I33" s="1">
        <v>266</v>
      </c>
      <c r="J33" s="1">
        <v>700</v>
      </c>
    </row>
    <row r="34" spans="1:10" x14ac:dyDescent="0.3">
      <c r="A34" t="s">
        <v>222</v>
      </c>
      <c r="B34" t="s">
        <v>3</v>
      </c>
      <c r="C34" t="s">
        <v>241</v>
      </c>
      <c r="D34" t="s">
        <v>252</v>
      </c>
      <c r="E34">
        <v>90</v>
      </c>
      <c r="F34">
        <v>112</v>
      </c>
      <c r="G34" s="1">
        <v>350</v>
      </c>
      <c r="H34" s="1">
        <v>340</v>
      </c>
      <c r="I34" s="1">
        <v>374</v>
      </c>
      <c r="J34" s="1">
        <v>1100</v>
      </c>
    </row>
    <row r="35" spans="1:10" x14ac:dyDescent="0.3">
      <c r="A35" t="s">
        <v>199</v>
      </c>
      <c r="B35" t="s">
        <v>3</v>
      </c>
      <c r="C35" t="s">
        <v>241</v>
      </c>
      <c r="D35" t="s">
        <v>251</v>
      </c>
      <c r="E35">
        <v>90</v>
      </c>
      <c r="F35">
        <v>7</v>
      </c>
      <c r="G35" s="1">
        <v>7500</v>
      </c>
      <c r="H35" s="1">
        <v>7010</v>
      </c>
      <c r="I35" s="1">
        <v>5678</v>
      </c>
      <c r="J35" s="1">
        <v>810</v>
      </c>
    </row>
    <row r="36" spans="1:10" x14ac:dyDescent="0.3">
      <c r="A36" t="s">
        <v>199</v>
      </c>
      <c r="B36" t="s">
        <v>3</v>
      </c>
      <c r="C36" t="s">
        <v>241</v>
      </c>
      <c r="D36" t="s">
        <v>250</v>
      </c>
      <c r="E36">
        <v>90</v>
      </c>
      <c r="F36">
        <v>14</v>
      </c>
      <c r="G36" s="1">
        <v>1400</v>
      </c>
      <c r="H36" s="1">
        <v>1290</v>
      </c>
      <c r="I36" s="1">
        <v>1045</v>
      </c>
      <c r="J36" s="1">
        <v>810</v>
      </c>
    </row>
    <row r="37" spans="1:10" x14ac:dyDescent="0.3">
      <c r="A37" t="s">
        <v>199</v>
      </c>
      <c r="B37" t="s">
        <v>3</v>
      </c>
      <c r="C37" t="s">
        <v>241</v>
      </c>
      <c r="D37" t="s">
        <v>248</v>
      </c>
      <c r="E37">
        <v>90</v>
      </c>
      <c r="F37">
        <v>35</v>
      </c>
      <c r="G37" s="1">
        <v>3100</v>
      </c>
      <c r="H37" s="1">
        <v>2850</v>
      </c>
      <c r="I37" s="1">
        <v>2024</v>
      </c>
      <c r="J37" s="1">
        <v>710</v>
      </c>
    </row>
    <row r="38" spans="1:10" x14ac:dyDescent="0.3">
      <c r="A38" t="s">
        <v>199</v>
      </c>
      <c r="B38" t="s">
        <v>3</v>
      </c>
      <c r="C38" t="s">
        <v>241</v>
      </c>
      <c r="D38" t="s">
        <v>246</v>
      </c>
      <c r="E38">
        <v>90</v>
      </c>
      <c r="F38">
        <v>49</v>
      </c>
      <c r="G38" s="1">
        <v>3400</v>
      </c>
      <c r="H38" s="1">
        <v>3140</v>
      </c>
      <c r="I38" s="1">
        <v>2575</v>
      </c>
      <c r="J38" s="1">
        <v>820</v>
      </c>
    </row>
    <row r="39" spans="1:10" x14ac:dyDescent="0.3">
      <c r="A39" t="s">
        <v>199</v>
      </c>
      <c r="B39" t="s">
        <v>3</v>
      </c>
      <c r="C39" t="s">
        <v>241</v>
      </c>
      <c r="D39" t="s">
        <v>245</v>
      </c>
      <c r="E39">
        <v>90</v>
      </c>
      <c r="F39">
        <v>56</v>
      </c>
      <c r="G39" s="1">
        <v>3200</v>
      </c>
      <c r="H39" s="1">
        <v>2900</v>
      </c>
      <c r="I39" s="1">
        <v>2088</v>
      </c>
      <c r="J39" s="1">
        <v>720</v>
      </c>
    </row>
    <row r="40" spans="1:10" x14ac:dyDescent="0.3">
      <c r="A40" t="s">
        <v>199</v>
      </c>
      <c r="B40" t="s">
        <v>3</v>
      </c>
      <c r="C40" t="s">
        <v>241</v>
      </c>
      <c r="D40" t="s">
        <v>252</v>
      </c>
      <c r="E40">
        <v>90</v>
      </c>
      <c r="F40">
        <v>112</v>
      </c>
      <c r="G40" s="1">
        <v>900</v>
      </c>
      <c r="H40" s="1">
        <v>880</v>
      </c>
      <c r="I40" s="1">
        <v>1065</v>
      </c>
      <c r="J40" s="1">
        <v>1210</v>
      </c>
    </row>
    <row r="41" spans="1:10" x14ac:dyDescent="0.3">
      <c r="A41" t="s">
        <v>198</v>
      </c>
      <c r="B41" t="s">
        <v>3</v>
      </c>
      <c r="C41" t="s">
        <v>241</v>
      </c>
      <c r="D41" t="s">
        <v>256</v>
      </c>
      <c r="E41">
        <v>90</v>
      </c>
      <c r="F41">
        <v>98</v>
      </c>
      <c r="G41" s="1">
        <v>20</v>
      </c>
      <c r="H41" s="1">
        <v>20</v>
      </c>
      <c r="I41" s="1">
        <v>28</v>
      </c>
      <c r="J41" s="1">
        <v>1420</v>
      </c>
    </row>
    <row r="42" spans="1:10" x14ac:dyDescent="0.3">
      <c r="A42" t="s">
        <v>200</v>
      </c>
      <c r="B42" t="s">
        <v>3</v>
      </c>
      <c r="C42" t="s">
        <v>241</v>
      </c>
      <c r="D42" t="s">
        <v>251</v>
      </c>
      <c r="E42">
        <v>90</v>
      </c>
      <c r="F42">
        <v>7</v>
      </c>
      <c r="G42" s="1">
        <v>8000</v>
      </c>
      <c r="H42" s="1">
        <v>7430</v>
      </c>
      <c r="I42" s="1">
        <v>5930</v>
      </c>
      <c r="J42" s="1">
        <v>798</v>
      </c>
    </row>
    <row r="43" spans="1:10" x14ac:dyDescent="0.3">
      <c r="A43" t="s">
        <v>200</v>
      </c>
      <c r="B43" t="s">
        <v>3</v>
      </c>
      <c r="C43" t="s">
        <v>241</v>
      </c>
      <c r="D43" t="s">
        <v>250</v>
      </c>
      <c r="E43">
        <v>90</v>
      </c>
      <c r="F43">
        <v>14</v>
      </c>
      <c r="G43" s="1">
        <v>1400</v>
      </c>
      <c r="H43" s="1">
        <v>1290</v>
      </c>
      <c r="I43" s="1">
        <v>1045</v>
      </c>
      <c r="J43" s="1">
        <v>810</v>
      </c>
    </row>
    <row r="44" spans="1:10" x14ac:dyDescent="0.3">
      <c r="A44" t="s">
        <v>200</v>
      </c>
      <c r="B44" t="s">
        <v>3</v>
      </c>
      <c r="C44" t="s">
        <v>241</v>
      </c>
      <c r="D44" t="s">
        <v>248</v>
      </c>
      <c r="E44">
        <v>90</v>
      </c>
      <c r="F44">
        <v>35</v>
      </c>
      <c r="G44" s="1">
        <v>3100</v>
      </c>
      <c r="H44" s="1">
        <v>2850</v>
      </c>
      <c r="I44" s="1">
        <v>2024</v>
      </c>
      <c r="J44" s="1">
        <v>710</v>
      </c>
    </row>
    <row r="45" spans="1:10" x14ac:dyDescent="0.3">
      <c r="A45" t="s">
        <v>200</v>
      </c>
      <c r="B45" t="s">
        <v>3</v>
      </c>
      <c r="C45" t="s">
        <v>241</v>
      </c>
      <c r="D45" t="s">
        <v>246</v>
      </c>
      <c r="E45">
        <v>90</v>
      </c>
      <c r="F45">
        <v>49</v>
      </c>
      <c r="G45" s="1">
        <v>3800</v>
      </c>
      <c r="H45" s="1">
        <v>3520</v>
      </c>
      <c r="I45" s="1">
        <v>2841</v>
      </c>
      <c r="J45" s="1">
        <v>807</v>
      </c>
    </row>
    <row r="46" spans="1:10" x14ac:dyDescent="0.3">
      <c r="A46" t="s">
        <v>200</v>
      </c>
      <c r="B46" t="s">
        <v>3</v>
      </c>
      <c r="C46" t="s">
        <v>241</v>
      </c>
      <c r="D46" t="s">
        <v>245</v>
      </c>
      <c r="E46">
        <v>90</v>
      </c>
      <c r="F46">
        <v>56</v>
      </c>
      <c r="G46" s="1">
        <v>3200</v>
      </c>
      <c r="H46" s="1">
        <v>2900</v>
      </c>
      <c r="I46" s="1">
        <v>2088</v>
      </c>
      <c r="J46" s="1">
        <v>720</v>
      </c>
    </row>
    <row r="47" spans="1:10" x14ac:dyDescent="0.3">
      <c r="A47" t="s">
        <v>200</v>
      </c>
      <c r="B47" t="s">
        <v>3</v>
      </c>
      <c r="C47" t="s">
        <v>241</v>
      </c>
      <c r="D47" t="s">
        <v>256</v>
      </c>
      <c r="E47">
        <v>90</v>
      </c>
      <c r="F47">
        <v>98</v>
      </c>
      <c r="G47" s="1">
        <v>20</v>
      </c>
      <c r="H47" s="1">
        <v>20</v>
      </c>
      <c r="I47" s="1">
        <v>28</v>
      </c>
      <c r="J47" s="1">
        <v>1400</v>
      </c>
    </row>
    <row r="48" spans="1:10" x14ac:dyDescent="0.3">
      <c r="A48" t="s">
        <v>200</v>
      </c>
      <c r="B48" t="s">
        <v>3</v>
      </c>
      <c r="C48" t="s">
        <v>241</v>
      </c>
      <c r="D48" t="s">
        <v>252</v>
      </c>
      <c r="E48">
        <v>90</v>
      </c>
      <c r="F48">
        <v>112</v>
      </c>
      <c r="G48" s="1">
        <v>1250</v>
      </c>
      <c r="H48" s="1">
        <v>1220</v>
      </c>
      <c r="I48" s="1">
        <v>1439</v>
      </c>
      <c r="J48" s="1">
        <v>1180</v>
      </c>
    </row>
    <row r="49" spans="1:10" x14ac:dyDescent="0.3">
      <c r="A49" t="s">
        <v>197</v>
      </c>
      <c r="B49" t="s">
        <v>3</v>
      </c>
      <c r="C49" t="s">
        <v>241</v>
      </c>
      <c r="D49" t="s">
        <v>251</v>
      </c>
      <c r="E49">
        <v>90</v>
      </c>
      <c r="F49">
        <v>7</v>
      </c>
      <c r="G49" s="1">
        <v>37500</v>
      </c>
      <c r="H49" s="1">
        <v>37300</v>
      </c>
      <c r="I49" s="1">
        <v>96980</v>
      </c>
      <c r="J49" s="1">
        <v>2600</v>
      </c>
    </row>
    <row r="50" spans="1:10" x14ac:dyDescent="0.3">
      <c r="A50" t="s">
        <v>197</v>
      </c>
      <c r="B50" t="s">
        <v>3</v>
      </c>
      <c r="C50" t="s">
        <v>241</v>
      </c>
      <c r="D50" t="s">
        <v>255</v>
      </c>
      <c r="E50">
        <v>90</v>
      </c>
      <c r="F50">
        <v>21</v>
      </c>
      <c r="G50" s="1">
        <v>850</v>
      </c>
      <c r="H50" s="1">
        <v>850</v>
      </c>
      <c r="I50" s="1">
        <v>2295</v>
      </c>
      <c r="J50" s="1">
        <v>2700</v>
      </c>
    </row>
    <row r="51" spans="1:10" x14ac:dyDescent="0.3">
      <c r="A51" t="s">
        <v>197</v>
      </c>
      <c r="B51" t="s">
        <v>3</v>
      </c>
      <c r="C51" t="s">
        <v>241</v>
      </c>
      <c r="D51" t="s">
        <v>250</v>
      </c>
      <c r="E51">
        <v>90</v>
      </c>
      <c r="F51">
        <v>14</v>
      </c>
      <c r="G51" s="1">
        <v>15500</v>
      </c>
      <c r="H51" s="1">
        <v>15340</v>
      </c>
      <c r="I51" s="1">
        <v>41418</v>
      </c>
      <c r="J51" s="1">
        <v>2700</v>
      </c>
    </row>
    <row r="52" spans="1:10" x14ac:dyDescent="0.3">
      <c r="A52" t="s">
        <v>197</v>
      </c>
      <c r="B52" t="s">
        <v>3</v>
      </c>
      <c r="C52" t="s">
        <v>241</v>
      </c>
      <c r="D52" t="s">
        <v>249</v>
      </c>
      <c r="E52">
        <v>90</v>
      </c>
      <c r="F52">
        <v>28</v>
      </c>
      <c r="G52" s="1">
        <v>700</v>
      </c>
      <c r="H52" s="1">
        <v>700</v>
      </c>
      <c r="I52" s="1">
        <v>1960</v>
      </c>
      <c r="J52" s="1">
        <v>2800</v>
      </c>
    </row>
    <row r="53" spans="1:10" x14ac:dyDescent="0.3">
      <c r="A53" t="s">
        <v>197</v>
      </c>
      <c r="B53" t="s">
        <v>3</v>
      </c>
      <c r="C53" t="s">
        <v>241</v>
      </c>
      <c r="D53" t="s">
        <v>248</v>
      </c>
      <c r="E53">
        <v>90</v>
      </c>
      <c r="F53">
        <v>35</v>
      </c>
      <c r="G53" s="1">
        <v>17700</v>
      </c>
      <c r="H53" s="1">
        <v>17490</v>
      </c>
      <c r="I53" s="1">
        <v>43725</v>
      </c>
      <c r="J53" s="1">
        <v>2500</v>
      </c>
    </row>
    <row r="54" spans="1:10" x14ac:dyDescent="0.3">
      <c r="A54" t="s">
        <v>197</v>
      </c>
      <c r="B54" t="s">
        <v>3</v>
      </c>
      <c r="C54" t="s">
        <v>241</v>
      </c>
      <c r="D54" t="s">
        <v>247</v>
      </c>
      <c r="E54">
        <v>90</v>
      </c>
      <c r="F54">
        <v>42</v>
      </c>
      <c r="G54" s="1">
        <v>2200</v>
      </c>
      <c r="H54" s="1">
        <v>2185</v>
      </c>
      <c r="I54" s="1">
        <v>5790</v>
      </c>
      <c r="J54" s="1">
        <v>2650</v>
      </c>
    </row>
    <row r="55" spans="1:10" x14ac:dyDescent="0.3">
      <c r="A55" t="s">
        <v>197</v>
      </c>
      <c r="B55" t="s">
        <v>3</v>
      </c>
      <c r="C55" t="s">
        <v>241</v>
      </c>
      <c r="D55" t="s">
        <v>246</v>
      </c>
      <c r="E55">
        <v>90</v>
      </c>
      <c r="F55">
        <v>49</v>
      </c>
      <c r="G55" s="1">
        <v>9200</v>
      </c>
      <c r="H55" s="1">
        <v>9010</v>
      </c>
      <c r="I55" s="1">
        <v>22165</v>
      </c>
      <c r="J55" s="1">
        <v>2460</v>
      </c>
    </row>
    <row r="56" spans="1:10" x14ac:dyDescent="0.3">
      <c r="A56" t="s">
        <v>197</v>
      </c>
      <c r="B56" t="s">
        <v>3</v>
      </c>
      <c r="C56" t="s">
        <v>241</v>
      </c>
      <c r="D56" t="s">
        <v>245</v>
      </c>
      <c r="E56">
        <v>90</v>
      </c>
      <c r="F56">
        <v>56</v>
      </c>
      <c r="G56" s="1">
        <v>18000</v>
      </c>
      <c r="H56" s="1">
        <v>17755</v>
      </c>
      <c r="I56" s="1">
        <v>44388</v>
      </c>
      <c r="J56" s="1">
        <v>2500</v>
      </c>
    </row>
    <row r="57" spans="1:10" x14ac:dyDescent="0.3">
      <c r="A57" t="s">
        <v>197</v>
      </c>
      <c r="B57" t="s">
        <v>3</v>
      </c>
      <c r="C57" t="s">
        <v>241</v>
      </c>
      <c r="D57" t="s">
        <v>244</v>
      </c>
      <c r="E57">
        <v>90</v>
      </c>
      <c r="F57">
        <v>63</v>
      </c>
      <c r="G57" s="1">
        <v>1200</v>
      </c>
      <c r="H57" s="1">
        <v>1200</v>
      </c>
      <c r="I57" s="1">
        <v>3360</v>
      </c>
      <c r="J57" s="1">
        <v>2800</v>
      </c>
    </row>
    <row r="58" spans="1:10" x14ac:dyDescent="0.3">
      <c r="A58" t="s">
        <v>197</v>
      </c>
      <c r="B58" t="s">
        <v>3</v>
      </c>
      <c r="C58" t="s">
        <v>241</v>
      </c>
      <c r="D58" t="s">
        <v>254</v>
      </c>
      <c r="E58">
        <v>90</v>
      </c>
      <c r="F58">
        <v>70</v>
      </c>
      <c r="G58" s="1">
        <v>550</v>
      </c>
      <c r="H58" s="1">
        <v>550</v>
      </c>
      <c r="I58" s="1">
        <v>1430</v>
      </c>
      <c r="J58" s="1">
        <v>2600</v>
      </c>
    </row>
    <row r="59" spans="1:10" x14ac:dyDescent="0.3">
      <c r="A59" t="s">
        <v>197</v>
      </c>
      <c r="B59" t="s">
        <v>3</v>
      </c>
      <c r="C59" t="s">
        <v>241</v>
      </c>
      <c r="D59" t="s">
        <v>253</v>
      </c>
      <c r="E59">
        <v>90</v>
      </c>
      <c r="F59">
        <v>77</v>
      </c>
      <c r="G59" s="1">
        <v>500</v>
      </c>
      <c r="H59" s="1">
        <v>500</v>
      </c>
      <c r="I59" s="1">
        <v>1350</v>
      </c>
      <c r="J59" s="1">
        <v>2700</v>
      </c>
    </row>
    <row r="60" spans="1:10" x14ac:dyDescent="0.3">
      <c r="A60" t="s">
        <v>197</v>
      </c>
      <c r="B60" t="s">
        <v>3</v>
      </c>
      <c r="C60" t="s">
        <v>241</v>
      </c>
      <c r="D60" t="s">
        <v>243</v>
      </c>
      <c r="E60">
        <v>90</v>
      </c>
      <c r="F60">
        <v>91</v>
      </c>
      <c r="G60" s="1">
        <v>2800</v>
      </c>
      <c r="H60" s="1">
        <v>2750</v>
      </c>
      <c r="I60" s="1">
        <v>7315</v>
      </c>
      <c r="J60" s="1">
        <v>2660</v>
      </c>
    </row>
    <row r="61" spans="1:10" x14ac:dyDescent="0.3">
      <c r="A61" t="s">
        <v>197</v>
      </c>
      <c r="B61" t="s">
        <v>3</v>
      </c>
      <c r="C61" t="s">
        <v>241</v>
      </c>
      <c r="D61" t="s">
        <v>242</v>
      </c>
      <c r="E61">
        <v>90</v>
      </c>
      <c r="F61">
        <v>105</v>
      </c>
      <c r="G61" s="1">
        <v>100</v>
      </c>
      <c r="H61" s="1">
        <v>100</v>
      </c>
      <c r="I61" s="1">
        <v>280</v>
      </c>
      <c r="J61" s="1">
        <v>2800</v>
      </c>
    </row>
    <row r="62" spans="1:10" x14ac:dyDescent="0.3">
      <c r="A62" t="s">
        <v>195</v>
      </c>
      <c r="B62" t="s">
        <v>3</v>
      </c>
      <c r="C62" t="s">
        <v>241</v>
      </c>
      <c r="D62" t="s">
        <v>251</v>
      </c>
      <c r="E62">
        <v>90</v>
      </c>
      <c r="F62">
        <v>7</v>
      </c>
      <c r="G62" s="1">
        <v>31000</v>
      </c>
      <c r="H62" s="1">
        <v>30720</v>
      </c>
      <c r="I62" s="1">
        <v>79718</v>
      </c>
      <c r="J62" s="1">
        <v>2595</v>
      </c>
    </row>
    <row r="63" spans="1:10" x14ac:dyDescent="0.3">
      <c r="A63" t="s">
        <v>195</v>
      </c>
      <c r="B63" t="s">
        <v>3</v>
      </c>
      <c r="C63" t="s">
        <v>241</v>
      </c>
      <c r="D63" t="s">
        <v>41</v>
      </c>
      <c r="E63">
        <v>90</v>
      </c>
      <c r="F63">
        <v>84</v>
      </c>
      <c r="G63" s="1">
        <v>70</v>
      </c>
      <c r="H63" s="1">
        <v>70</v>
      </c>
      <c r="I63" s="1">
        <v>193</v>
      </c>
      <c r="J63" s="1">
        <v>2760</v>
      </c>
    </row>
    <row r="64" spans="1:10" x14ac:dyDescent="0.3">
      <c r="A64" t="s">
        <v>195</v>
      </c>
      <c r="B64" t="s">
        <v>3</v>
      </c>
      <c r="C64" t="s">
        <v>241</v>
      </c>
      <c r="D64" t="s">
        <v>250</v>
      </c>
      <c r="E64">
        <v>90</v>
      </c>
      <c r="F64">
        <v>14</v>
      </c>
      <c r="G64" s="1">
        <v>10500</v>
      </c>
      <c r="H64" s="1">
        <v>10340</v>
      </c>
      <c r="I64" s="1">
        <v>27504</v>
      </c>
      <c r="J64" s="1">
        <v>2660</v>
      </c>
    </row>
    <row r="65" spans="1:10" x14ac:dyDescent="0.3">
      <c r="A65" t="s">
        <v>195</v>
      </c>
      <c r="B65" t="s">
        <v>3</v>
      </c>
      <c r="C65" t="s">
        <v>241</v>
      </c>
      <c r="D65" t="s">
        <v>248</v>
      </c>
      <c r="E65">
        <v>90</v>
      </c>
      <c r="F65">
        <v>35</v>
      </c>
      <c r="G65" s="1">
        <v>11400</v>
      </c>
      <c r="H65" s="1">
        <v>11215</v>
      </c>
      <c r="I65" s="1">
        <v>29159</v>
      </c>
      <c r="J65" s="1">
        <v>2600</v>
      </c>
    </row>
    <row r="66" spans="1:10" x14ac:dyDescent="0.3">
      <c r="A66" t="s">
        <v>195</v>
      </c>
      <c r="B66" t="s">
        <v>3</v>
      </c>
      <c r="C66" t="s">
        <v>241</v>
      </c>
      <c r="D66" t="s">
        <v>246</v>
      </c>
      <c r="E66">
        <v>90</v>
      </c>
      <c r="F66">
        <v>49</v>
      </c>
      <c r="G66" s="1">
        <v>13200</v>
      </c>
      <c r="H66" s="1">
        <v>13010</v>
      </c>
      <c r="I66" s="1">
        <v>33306</v>
      </c>
      <c r="J66" s="1">
        <v>2560</v>
      </c>
    </row>
    <row r="67" spans="1:10" x14ac:dyDescent="0.3">
      <c r="A67" t="s">
        <v>195</v>
      </c>
      <c r="B67" t="s">
        <v>3</v>
      </c>
      <c r="C67" t="s">
        <v>241</v>
      </c>
      <c r="D67" t="s">
        <v>245</v>
      </c>
      <c r="E67">
        <v>90</v>
      </c>
      <c r="F67">
        <v>56</v>
      </c>
      <c r="G67" s="1">
        <v>12000</v>
      </c>
      <c r="H67" s="1">
        <v>11760</v>
      </c>
      <c r="I67" s="1">
        <v>30576</v>
      </c>
      <c r="J67" s="1">
        <v>2600</v>
      </c>
    </row>
    <row r="68" spans="1:10" x14ac:dyDescent="0.3">
      <c r="A68" t="s">
        <v>195</v>
      </c>
      <c r="B68" t="s">
        <v>3</v>
      </c>
      <c r="C68" t="s">
        <v>241</v>
      </c>
      <c r="D68" t="s">
        <v>240</v>
      </c>
      <c r="E68">
        <v>90</v>
      </c>
      <c r="F68">
        <v>119</v>
      </c>
      <c r="G68" s="1">
        <v>50</v>
      </c>
      <c r="H68" s="1">
        <v>50</v>
      </c>
      <c r="I68" s="1">
        <v>145</v>
      </c>
      <c r="J68" s="1">
        <v>2900</v>
      </c>
    </row>
    <row r="69" spans="1:10" x14ac:dyDescent="0.3">
      <c r="A69" t="s">
        <v>194</v>
      </c>
      <c r="B69" t="s">
        <v>3</v>
      </c>
      <c r="C69" t="s">
        <v>241</v>
      </c>
      <c r="D69" t="s">
        <v>251</v>
      </c>
      <c r="E69">
        <v>90</v>
      </c>
      <c r="F69">
        <v>7</v>
      </c>
      <c r="G69" s="1">
        <v>68500</v>
      </c>
      <c r="H69" s="1">
        <v>68020</v>
      </c>
      <c r="I69" s="1">
        <v>176698</v>
      </c>
      <c r="J69" s="1">
        <v>2598</v>
      </c>
    </row>
    <row r="70" spans="1:10" x14ac:dyDescent="0.3">
      <c r="A70" t="s">
        <v>194</v>
      </c>
      <c r="B70" t="s">
        <v>3</v>
      </c>
      <c r="C70" t="s">
        <v>241</v>
      </c>
      <c r="D70" t="s">
        <v>41</v>
      </c>
      <c r="E70">
        <v>90</v>
      </c>
      <c r="F70">
        <v>84</v>
      </c>
      <c r="G70" s="1">
        <v>70</v>
      </c>
      <c r="H70" s="1">
        <v>70</v>
      </c>
      <c r="I70" s="1">
        <v>193</v>
      </c>
      <c r="J70" s="1">
        <v>2760</v>
      </c>
    </row>
    <row r="71" spans="1:10" x14ac:dyDescent="0.3">
      <c r="A71" t="s">
        <v>194</v>
      </c>
      <c r="B71" t="s">
        <v>3</v>
      </c>
      <c r="C71" t="s">
        <v>241</v>
      </c>
      <c r="D71" t="s">
        <v>255</v>
      </c>
      <c r="E71">
        <v>90</v>
      </c>
      <c r="F71">
        <v>21</v>
      </c>
      <c r="G71" s="1">
        <v>850</v>
      </c>
      <c r="H71" s="1">
        <v>850</v>
      </c>
      <c r="I71" s="1">
        <v>2295</v>
      </c>
      <c r="J71" s="1">
        <v>2700</v>
      </c>
    </row>
    <row r="72" spans="1:10" x14ac:dyDescent="0.3">
      <c r="A72" t="s">
        <v>194</v>
      </c>
      <c r="B72" t="s">
        <v>3</v>
      </c>
      <c r="C72" t="s">
        <v>241</v>
      </c>
      <c r="D72" t="s">
        <v>250</v>
      </c>
      <c r="E72">
        <v>90</v>
      </c>
      <c r="F72">
        <v>14</v>
      </c>
      <c r="G72" s="1">
        <v>26000</v>
      </c>
      <c r="H72" s="1">
        <v>25680</v>
      </c>
      <c r="I72" s="1">
        <v>68922</v>
      </c>
      <c r="J72" s="1">
        <v>2684</v>
      </c>
    </row>
    <row r="73" spans="1:10" x14ac:dyDescent="0.3">
      <c r="A73" t="s">
        <v>194</v>
      </c>
      <c r="B73" t="s">
        <v>3</v>
      </c>
      <c r="C73" t="s">
        <v>241</v>
      </c>
      <c r="D73" t="s">
        <v>249</v>
      </c>
      <c r="E73">
        <v>90</v>
      </c>
      <c r="F73">
        <v>28</v>
      </c>
      <c r="G73" s="1">
        <v>700</v>
      </c>
      <c r="H73" s="1">
        <v>700</v>
      </c>
      <c r="I73" s="1">
        <v>1960</v>
      </c>
      <c r="J73" s="1">
        <v>2800</v>
      </c>
    </row>
    <row r="74" spans="1:10" x14ac:dyDescent="0.3">
      <c r="A74" t="s">
        <v>194</v>
      </c>
      <c r="B74" t="s">
        <v>3</v>
      </c>
      <c r="C74" t="s">
        <v>241</v>
      </c>
      <c r="D74" t="s">
        <v>248</v>
      </c>
      <c r="E74">
        <v>90</v>
      </c>
      <c r="F74">
        <v>35</v>
      </c>
      <c r="G74" s="1">
        <v>29100</v>
      </c>
      <c r="H74" s="1">
        <v>28705</v>
      </c>
      <c r="I74" s="1">
        <v>72884</v>
      </c>
      <c r="J74" s="1">
        <v>2539</v>
      </c>
    </row>
    <row r="75" spans="1:10" x14ac:dyDescent="0.3">
      <c r="A75" t="s">
        <v>194</v>
      </c>
      <c r="B75" t="s">
        <v>3</v>
      </c>
      <c r="C75" t="s">
        <v>241</v>
      </c>
      <c r="D75" t="s">
        <v>247</v>
      </c>
      <c r="E75">
        <v>90</v>
      </c>
      <c r="F75">
        <v>42</v>
      </c>
      <c r="G75" s="1">
        <v>2200</v>
      </c>
      <c r="H75" s="1">
        <v>2185</v>
      </c>
      <c r="I75" s="1">
        <v>5790</v>
      </c>
      <c r="J75" s="1">
        <v>2650</v>
      </c>
    </row>
    <row r="76" spans="1:10" x14ac:dyDescent="0.3">
      <c r="A76" t="s">
        <v>194</v>
      </c>
      <c r="B76" t="s">
        <v>3</v>
      </c>
      <c r="C76" t="s">
        <v>241</v>
      </c>
      <c r="D76" t="s">
        <v>246</v>
      </c>
      <c r="E76">
        <v>90</v>
      </c>
      <c r="F76">
        <v>49</v>
      </c>
      <c r="G76" s="1">
        <v>22400</v>
      </c>
      <c r="H76" s="1">
        <v>22020</v>
      </c>
      <c r="I76" s="1">
        <v>55470</v>
      </c>
      <c r="J76" s="1">
        <v>2519</v>
      </c>
    </row>
    <row r="77" spans="1:10" x14ac:dyDescent="0.3">
      <c r="A77" t="s">
        <v>194</v>
      </c>
      <c r="B77" t="s">
        <v>3</v>
      </c>
      <c r="C77" t="s">
        <v>241</v>
      </c>
      <c r="D77" t="s">
        <v>245</v>
      </c>
      <c r="E77">
        <v>90</v>
      </c>
      <c r="F77">
        <v>56</v>
      </c>
      <c r="G77" s="1">
        <v>30000</v>
      </c>
      <c r="H77" s="1">
        <v>29515</v>
      </c>
      <c r="I77" s="1">
        <v>74964</v>
      </c>
      <c r="J77" s="1">
        <v>2540</v>
      </c>
    </row>
    <row r="78" spans="1:10" x14ac:dyDescent="0.3">
      <c r="A78" t="s">
        <v>194</v>
      </c>
      <c r="B78" t="s">
        <v>3</v>
      </c>
      <c r="C78" t="s">
        <v>241</v>
      </c>
      <c r="D78" t="s">
        <v>244</v>
      </c>
      <c r="E78">
        <v>90</v>
      </c>
      <c r="F78">
        <v>63</v>
      </c>
      <c r="G78" s="1">
        <v>1200</v>
      </c>
      <c r="H78" s="1">
        <v>1200</v>
      </c>
      <c r="I78" s="1">
        <v>3360</v>
      </c>
      <c r="J78" s="1">
        <v>2800</v>
      </c>
    </row>
    <row r="79" spans="1:10" x14ac:dyDescent="0.3">
      <c r="A79" t="s">
        <v>194</v>
      </c>
      <c r="B79" t="s">
        <v>3</v>
      </c>
      <c r="C79" t="s">
        <v>241</v>
      </c>
      <c r="D79" t="s">
        <v>254</v>
      </c>
      <c r="E79">
        <v>90</v>
      </c>
      <c r="F79">
        <v>70</v>
      </c>
      <c r="G79" s="1">
        <v>550</v>
      </c>
      <c r="H79" s="1">
        <v>550</v>
      </c>
      <c r="I79" s="1">
        <v>1430</v>
      </c>
      <c r="J79" s="1">
        <v>2600</v>
      </c>
    </row>
    <row r="80" spans="1:10" x14ac:dyDescent="0.3">
      <c r="A80" t="s">
        <v>194</v>
      </c>
      <c r="B80" t="s">
        <v>3</v>
      </c>
      <c r="C80" t="s">
        <v>241</v>
      </c>
      <c r="D80" t="s">
        <v>253</v>
      </c>
      <c r="E80">
        <v>90</v>
      </c>
      <c r="F80">
        <v>77</v>
      </c>
      <c r="G80" s="1">
        <v>500</v>
      </c>
      <c r="H80" s="1">
        <v>500</v>
      </c>
      <c r="I80" s="1">
        <v>1350</v>
      </c>
      <c r="J80" s="1">
        <v>2700</v>
      </c>
    </row>
    <row r="81" spans="1:10" x14ac:dyDescent="0.3">
      <c r="A81" t="s">
        <v>194</v>
      </c>
      <c r="B81" t="s">
        <v>3</v>
      </c>
      <c r="C81" t="s">
        <v>241</v>
      </c>
      <c r="D81" t="s">
        <v>243</v>
      </c>
      <c r="E81">
        <v>90</v>
      </c>
      <c r="F81">
        <v>91</v>
      </c>
      <c r="G81" s="1">
        <v>2800</v>
      </c>
      <c r="H81" s="1">
        <v>2750</v>
      </c>
      <c r="I81" s="1">
        <v>7315</v>
      </c>
      <c r="J81" s="1">
        <v>2660</v>
      </c>
    </row>
    <row r="82" spans="1:10" x14ac:dyDescent="0.3">
      <c r="A82" t="s">
        <v>194</v>
      </c>
      <c r="B82" t="s">
        <v>3</v>
      </c>
      <c r="C82" t="s">
        <v>241</v>
      </c>
      <c r="D82" t="s">
        <v>242</v>
      </c>
      <c r="E82">
        <v>90</v>
      </c>
      <c r="F82">
        <v>105</v>
      </c>
      <c r="G82" s="1">
        <v>100</v>
      </c>
      <c r="H82" s="1">
        <v>100</v>
      </c>
      <c r="I82" s="1">
        <v>280</v>
      </c>
      <c r="J82" s="1">
        <v>2800</v>
      </c>
    </row>
    <row r="83" spans="1:10" x14ac:dyDescent="0.3">
      <c r="A83" t="s">
        <v>194</v>
      </c>
      <c r="B83" t="s">
        <v>3</v>
      </c>
      <c r="C83" t="s">
        <v>241</v>
      </c>
      <c r="D83" t="s">
        <v>240</v>
      </c>
      <c r="E83">
        <v>90</v>
      </c>
      <c r="F83">
        <v>119</v>
      </c>
      <c r="G83" s="1">
        <v>50</v>
      </c>
      <c r="H83" s="1">
        <v>50</v>
      </c>
      <c r="I83" s="1">
        <v>145</v>
      </c>
      <c r="J83" s="1">
        <v>2900</v>
      </c>
    </row>
    <row r="84" spans="1:10" x14ac:dyDescent="0.3">
      <c r="A84" t="s">
        <v>117</v>
      </c>
      <c r="B84" t="s">
        <v>3</v>
      </c>
      <c r="C84" t="s">
        <v>241</v>
      </c>
      <c r="D84" t="s">
        <v>251</v>
      </c>
      <c r="E84">
        <v>90</v>
      </c>
      <c r="F84">
        <v>7</v>
      </c>
      <c r="G84" s="1">
        <v>8500</v>
      </c>
      <c r="H84" s="1">
        <v>6500</v>
      </c>
      <c r="I84" s="1">
        <v>15600</v>
      </c>
      <c r="J84" s="1">
        <v>2400</v>
      </c>
    </row>
    <row r="85" spans="1:10" x14ac:dyDescent="0.3">
      <c r="A85" t="s">
        <v>117</v>
      </c>
      <c r="B85" t="s">
        <v>3</v>
      </c>
      <c r="C85" t="s">
        <v>241</v>
      </c>
      <c r="D85" t="s">
        <v>250</v>
      </c>
      <c r="E85">
        <v>90</v>
      </c>
      <c r="F85">
        <v>14</v>
      </c>
      <c r="G85" s="1">
        <v>1900</v>
      </c>
      <c r="H85" s="1">
        <v>1600</v>
      </c>
      <c r="I85" s="1">
        <v>3840</v>
      </c>
      <c r="J85" s="1">
        <v>2400</v>
      </c>
    </row>
    <row r="86" spans="1:10" x14ac:dyDescent="0.3">
      <c r="A86" t="s">
        <v>117</v>
      </c>
      <c r="B86" t="s">
        <v>3</v>
      </c>
      <c r="C86" t="s">
        <v>241</v>
      </c>
      <c r="D86" t="s">
        <v>248</v>
      </c>
      <c r="E86">
        <v>90</v>
      </c>
      <c r="F86">
        <v>35</v>
      </c>
      <c r="G86" s="1">
        <v>2000</v>
      </c>
      <c r="H86" s="1">
        <v>1700</v>
      </c>
      <c r="I86" s="1">
        <v>3740</v>
      </c>
      <c r="J86" s="1">
        <v>2200</v>
      </c>
    </row>
    <row r="87" spans="1:10" x14ac:dyDescent="0.3">
      <c r="A87" t="s">
        <v>117</v>
      </c>
      <c r="B87" t="s">
        <v>3</v>
      </c>
      <c r="C87" t="s">
        <v>241</v>
      </c>
      <c r="D87" t="s">
        <v>246</v>
      </c>
      <c r="E87">
        <v>90</v>
      </c>
      <c r="F87">
        <v>49</v>
      </c>
      <c r="G87" s="1">
        <v>1000</v>
      </c>
      <c r="H87" s="1">
        <v>800</v>
      </c>
      <c r="I87" s="1">
        <v>2000</v>
      </c>
      <c r="J87" s="1">
        <v>2500</v>
      </c>
    </row>
    <row r="88" spans="1:10" x14ac:dyDescent="0.3">
      <c r="A88" t="s">
        <v>117</v>
      </c>
      <c r="B88" t="s">
        <v>3</v>
      </c>
      <c r="C88" t="s">
        <v>241</v>
      </c>
      <c r="D88" t="s">
        <v>245</v>
      </c>
      <c r="E88">
        <v>90</v>
      </c>
      <c r="F88">
        <v>56</v>
      </c>
      <c r="G88" s="1">
        <v>4000</v>
      </c>
      <c r="H88" s="1">
        <v>3650</v>
      </c>
      <c r="I88" s="1">
        <v>8760</v>
      </c>
      <c r="J88" s="1">
        <v>2400</v>
      </c>
    </row>
    <row r="89" spans="1:10" x14ac:dyDescent="0.3">
      <c r="A89" t="s">
        <v>117</v>
      </c>
      <c r="B89" t="s">
        <v>3</v>
      </c>
      <c r="C89" t="s">
        <v>241</v>
      </c>
      <c r="D89" t="s">
        <v>243</v>
      </c>
      <c r="E89">
        <v>90</v>
      </c>
      <c r="F89">
        <v>91</v>
      </c>
      <c r="G89" s="1">
        <v>250</v>
      </c>
      <c r="H89" s="1">
        <v>200</v>
      </c>
      <c r="I89" s="1">
        <v>500</v>
      </c>
      <c r="J89" s="1">
        <v>2500</v>
      </c>
    </row>
    <row r="90" spans="1:10" x14ac:dyDescent="0.3">
      <c r="A90" t="s">
        <v>117</v>
      </c>
      <c r="B90" t="s">
        <v>3</v>
      </c>
      <c r="C90" t="s">
        <v>241</v>
      </c>
      <c r="D90" t="s">
        <v>252</v>
      </c>
      <c r="E90">
        <v>90</v>
      </c>
      <c r="F90">
        <v>112</v>
      </c>
      <c r="G90" s="1">
        <v>350</v>
      </c>
      <c r="H90" s="1">
        <v>0</v>
      </c>
      <c r="I90" s="1">
        <v>0</v>
      </c>
      <c r="J90" s="1">
        <v>0</v>
      </c>
    </row>
    <row r="91" spans="1:10" x14ac:dyDescent="0.3">
      <c r="A91" t="s">
        <v>21</v>
      </c>
      <c r="B91" t="s">
        <v>3</v>
      </c>
      <c r="C91" t="s">
        <v>241</v>
      </c>
      <c r="D91" t="s">
        <v>251</v>
      </c>
      <c r="E91">
        <v>90</v>
      </c>
      <c r="F91">
        <v>7</v>
      </c>
      <c r="G91" s="1">
        <v>2800</v>
      </c>
      <c r="H91" s="1">
        <v>2680</v>
      </c>
      <c r="I91" s="1">
        <v>3216</v>
      </c>
      <c r="J91" s="1">
        <v>1200</v>
      </c>
    </row>
    <row r="92" spans="1:10" x14ac:dyDescent="0.3">
      <c r="A92" t="s">
        <v>21</v>
      </c>
      <c r="B92" t="s">
        <v>3</v>
      </c>
      <c r="C92" t="s">
        <v>241</v>
      </c>
      <c r="D92" t="s">
        <v>250</v>
      </c>
      <c r="E92">
        <v>90</v>
      </c>
      <c r="F92">
        <v>14</v>
      </c>
      <c r="G92" s="1">
        <v>800</v>
      </c>
      <c r="H92" s="1">
        <v>670</v>
      </c>
      <c r="I92" s="1">
        <v>871</v>
      </c>
      <c r="J92" s="1">
        <v>1300</v>
      </c>
    </row>
    <row r="93" spans="1:10" x14ac:dyDescent="0.3">
      <c r="A93" t="s">
        <v>21</v>
      </c>
      <c r="B93" t="s">
        <v>3</v>
      </c>
      <c r="C93" t="s">
        <v>241</v>
      </c>
      <c r="D93" t="s">
        <v>249</v>
      </c>
      <c r="E93">
        <v>90</v>
      </c>
      <c r="F93">
        <v>28</v>
      </c>
      <c r="G93" s="1">
        <v>200</v>
      </c>
      <c r="H93" s="1">
        <v>200</v>
      </c>
      <c r="I93" s="1">
        <v>200</v>
      </c>
      <c r="J93" s="1">
        <v>1000</v>
      </c>
    </row>
    <row r="94" spans="1:10" x14ac:dyDescent="0.3">
      <c r="A94" t="s">
        <v>21</v>
      </c>
      <c r="B94" t="s">
        <v>3</v>
      </c>
      <c r="C94" t="s">
        <v>241</v>
      </c>
      <c r="D94" t="s">
        <v>246</v>
      </c>
      <c r="E94">
        <v>90</v>
      </c>
      <c r="F94">
        <v>49</v>
      </c>
      <c r="G94" s="1">
        <v>650</v>
      </c>
      <c r="H94" s="1">
        <v>590</v>
      </c>
      <c r="I94" s="1">
        <v>649</v>
      </c>
      <c r="J94" s="1">
        <v>1100</v>
      </c>
    </row>
    <row r="95" spans="1:10" x14ac:dyDescent="0.3">
      <c r="A95" t="s">
        <v>21</v>
      </c>
      <c r="B95" t="s">
        <v>3</v>
      </c>
      <c r="C95" t="s">
        <v>241</v>
      </c>
      <c r="D95" t="s">
        <v>245</v>
      </c>
      <c r="E95">
        <v>90</v>
      </c>
      <c r="F95">
        <v>56</v>
      </c>
      <c r="G95" s="1">
        <v>500</v>
      </c>
      <c r="H95" s="1">
        <v>460</v>
      </c>
      <c r="I95" s="1">
        <v>506</v>
      </c>
      <c r="J95" s="1">
        <v>1100</v>
      </c>
    </row>
    <row r="96" spans="1:10" x14ac:dyDescent="0.3">
      <c r="A96" t="s">
        <v>19</v>
      </c>
      <c r="B96" t="s">
        <v>3</v>
      </c>
      <c r="C96" t="s">
        <v>241</v>
      </c>
      <c r="D96" t="s">
        <v>251</v>
      </c>
      <c r="E96">
        <v>90</v>
      </c>
      <c r="F96">
        <v>7</v>
      </c>
      <c r="G96" s="1">
        <v>30800</v>
      </c>
      <c r="H96" s="1">
        <v>30130</v>
      </c>
      <c r="I96" s="1">
        <v>33411</v>
      </c>
      <c r="J96" s="1">
        <v>1109</v>
      </c>
    </row>
    <row r="97" spans="1:10" x14ac:dyDescent="0.3">
      <c r="A97" t="s">
        <v>19</v>
      </c>
      <c r="B97" t="s">
        <v>3</v>
      </c>
      <c r="C97" t="s">
        <v>241</v>
      </c>
      <c r="D97" t="s">
        <v>41</v>
      </c>
      <c r="E97">
        <v>90</v>
      </c>
      <c r="F97">
        <v>84</v>
      </c>
      <c r="G97" s="1">
        <v>70</v>
      </c>
      <c r="H97" s="1">
        <v>70</v>
      </c>
      <c r="I97" s="1">
        <v>70</v>
      </c>
      <c r="J97" s="1">
        <v>1000</v>
      </c>
    </row>
    <row r="98" spans="1:10" x14ac:dyDescent="0.3">
      <c r="A98" t="s">
        <v>19</v>
      </c>
      <c r="B98" t="s">
        <v>3</v>
      </c>
      <c r="C98" t="s">
        <v>241</v>
      </c>
      <c r="D98" t="s">
        <v>250</v>
      </c>
      <c r="E98">
        <v>90</v>
      </c>
      <c r="F98">
        <v>14</v>
      </c>
      <c r="G98" s="1">
        <v>10300</v>
      </c>
      <c r="H98" s="1">
        <v>9980</v>
      </c>
      <c r="I98" s="1">
        <v>12043</v>
      </c>
      <c r="J98" s="1">
        <v>1207</v>
      </c>
    </row>
    <row r="99" spans="1:10" x14ac:dyDescent="0.3">
      <c r="A99" t="s">
        <v>19</v>
      </c>
      <c r="B99" t="s">
        <v>3</v>
      </c>
      <c r="C99" t="s">
        <v>241</v>
      </c>
      <c r="D99" t="s">
        <v>249</v>
      </c>
      <c r="E99">
        <v>90</v>
      </c>
      <c r="F99">
        <v>28</v>
      </c>
      <c r="G99" s="1">
        <v>500</v>
      </c>
      <c r="H99" s="1">
        <v>490</v>
      </c>
      <c r="I99" s="1">
        <v>548</v>
      </c>
      <c r="J99" s="1">
        <v>1118</v>
      </c>
    </row>
    <row r="100" spans="1:10" x14ac:dyDescent="0.3">
      <c r="A100" t="s">
        <v>19</v>
      </c>
      <c r="B100" t="s">
        <v>3</v>
      </c>
      <c r="C100" t="s">
        <v>241</v>
      </c>
      <c r="D100" t="s">
        <v>248</v>
      </c>
      <c r="E100">
        <v>90</v>
      </c>
      <c r="F100">
        <v>35</v>
      </c>
      <c r="G100" s="1">
        <v>11000</v>
      </c>
      <c r="H100" s="1">
        <v>10380</v>
      </c>
      <c r="I100" s="1">
        <v>10380</v>
      </c>
      <c r="J100" s="1">
        <v>1000</v>
      </c>
    </row>
    <row r="101" spans="1:10" x14ac:dyDescent="0.3">
      <c r="A101" t="s">
        <v>19</v>
      </c>
      <c r="B101" t="s">
        <v>3</v>
      </c>
      <c r="C101" t="s">
        <v>241</v>
      </c>
      <c r="D101" t="s">
        <v>247</v>
      </c>
      <c r="E101">
        <v>90</v>
      </c>
      <c r="F101">
        <v>42</v>
      </c>
      <c r="G101" s="1">
        <v>300</v>
      </c>
      <c r="H101" s="1">
        <v>270</v>
      </c>
      <c r="I101" s="1">
        <v>351</v>
      </c>
      <c r="J101" s="1">
        <v>1300</v>
      </c>
    </row>
    <row r="102" spans="1:10" x14ac:dyDescent="0.3">
      <c r="A102" t="s">
        <v>19</v>
      </c>
      <c r="B102" t="s">
        <v>3</v>
      </c>
      <c r="C102" t="s">
        <v>241</v>
      </c>
      <c r="D102" t="s">
        <v>246</v>
      </c>
      <c r="E102">
        <v>90</v>
      </c>
      <c r="F102">
        <v>49</v>
      </c>
      <c r="G102" s="1">
        <v>14350</v>
      </c>
      <c r="H102" s="1">
        <v>13710</v>
      </c>
      <c r="I102" s="1">
        <v>15081</v>
      </c>
      <c r="J102" s="1">
        <v>1100</v>
      </c>
    </row>
    <row r="103" spans="1:10" x14ac:dyDescent="0.3">
      <c r="A103" t="s">
        <v>19</v>
      </c>
      <c r="B103" t="s">
        <v>3</v>
      </c>
      <c r="C103" t="s">
        <v>241</v>
      </c>
      <c r="D103" t="s">
        <v>245</v>
      </c>
      <c r="E103">
        <v>90</v>
      </c>
      <c r="F103">
        <v>56</v>
      </c>
      <c r="G103" s="1">
        <v>13300</v>
      </c>
      <c r="H103" s="1">
        <v>12700</v>
      </c>
      <c r="I103" s="1">
        <v>12746</v>
      </c>
      <c r="J103" s="1">
        <v>1004</v>
      </c>
    </row>
    <row r="104" spans="1:10" x14ac:dyDescent="0.3">
      <c r="A104" t="s">
        <v>19</v>
      </c>
      <c r="B104" t="s">
        <v>3</v>
      </c>
      <c r="C104" t="s">
        <v>241</v>
      </c>
      <c r="D104" t="s">
        <v>244</v>
      </c>
      <c r="E104">
        <v>90</v>
      </c>
      <c r="F104">
        <v>63</v>
      </c>
      <c r="G104" s="1">
        <v>400</v>
      </c>
      <c r="H104" s="1">
        <v>380</v>
      </c>
      <c r="I104" s="1">
        <v>494</v>
      </c>
      <c r="J104" s="1">
        <v>1300</v>
      </c>
    </row>
    <row r="105" spans="1:10" x14ac:dyDescent="0.3">
      <c r="A105" t="s">
        <v>19</v>
      </c>
      <c r="B105" t="s">
        <v>3</v>
      </c>
      <c r="C105" t="s">
        <v>241</v>
      </c>
      <c r="D105" t="s">
        <v>243</v>
      </c>
      <c r="E105">
        <v>90</v>
      </c>
      <c r="F105">
        <v>91</v>
      </c>
      <c r="G105" s="1">
        <v>1200</v>
      </c>
      <c r="H105" s="1">
        <v>1120</v>
      </c>
      <c r="I105" s="1">
        <v>1344</v>
      </c>
      <c r="J105" s="1">
        <v>1200</v>
      </c>
    </row>
    <row r="106" spans="1:10" x14ac:dyDescent="0.3">
      <c r="A106" t="s">
        <v>19</v>
      </c>
      <c r="B106" t="s">
        <v>3</v>
      </c>
      <c r="C106" t="s">
        <v>241</v>
      </c>
      <c r="D106" t="s">
        <v>242</v>
      </c>
      <c r="E106">
        <v>90</v>
      </c>
      <c r="F106">
        <v>105</v>
      </c>
      <c r="G106" s="1">
        <v>100</v>
      </c>
      <c r="H106" s="1">
        <v>100</v>
      </c>
      <c r="I106" s="1">
        <v>120</v>
      </c>
      <c r="J106" s="1">
        <v>1200</v>
      </c>
    </row>
    <row r="107" spans="1:10" x14ac:dyDescent="0.3">
      <c r="A107" t="s">
        <v>19</v>
      </c>
      <c r="B107" t="s">
        <v>3</v>
      </c>
      <c r="C107" t="s">
        <v>241</v>
      </c>
      <c r="D107" t="s">
        <v>240</v>
      </c>
      <c r="E107">
        <v>90</v>
      </c>
      <c r="F107">
        <v>119</v>
      </c>
      <c r="G107" s="1">
        <v>50</v>
      </c>
      <c r="H107" s="1">
        <v>40</v>
      </c>
      <c r="I107" s="1">
        <v>48</v>
      </c>
      <c r="J107" s="1">
        <v>1200</v>
      </c>
    </row>
    <row r="108" spans="1:10" x14ac:dyDescent="0.3">
      <c r="A108" t="s">
        <v>121</v>
      </c>
      <c r="B108" t="s">
        <v>3</v>
      </c>
      <c r="C108" t="s">
        <v>224</v>
      </c>
      <c r="D108" t="s">
        <v>235</v>
      </c>
      <c r="E108">
        <v>66</v>
      </c>
      <c r="F108">
        <v>7</v>
      </c>
      <c r="G108" s="1">
        <v>12100</v>
      </c>
      <c r="H108" s="1">
        <v>12100</v>
      </c>
      <c r="I108" s="1">
        <v>31460</v>
      </c>
      <c r="J108" s="1">
        <v>2600</v>
      </c>
    </row>
    <row r="109" spans="1:10" x14ac:dyDescent="0.3">
      <c r="A109" t="s">
        <v>121</v>
      </c>
      <c r="B109" t="s">
        <v>3</v>
      </c>
      <c r="C109" t="s">
        <v>224</v>
      </c>
      <c r="D109" t="s">
        <v>227</v>
      </c>
      <c r="E109">
        <v>66</v>
      </c>
      <c r="F109">
        <v>112</v>
      </c>
      <c r="G109" s="1">
        <v>450</v>
      </c>
      <c r="H109" s="1">
        <v>450</v>
      </c>
      <c r="I109" s="1">
        <v>1080</v>
      </c>
      <c r="J109" s="1">
        <v>2400</v>
      </c>
    </row>
    <row r="110" spans="1:10" x14ac:dyDescent="0.3">
      <c r="A110" t="s">
        <v>239</v>
      </c>
      <c r="B110" t="s">
        <v>3</v>
      </c>
      <c r="C110" t="s">
        <v>224</v>
      </c>
      <c r="D110" t="s">
        <v>235</v>
      </c>
      <c r="E110">
        <v>66</v>
      </c>
      <c r="F110">
        <v>7</v>
      </c>
      <c r="G110" s="1">
        <v>85</v>
      </c>
      <c r="H110" s="1">
        <v>85</v>
      </c>
      <c r="I110" s="1">
        <v>68</v>
      </c>
      <c r="J110" s="1">
        <v>800</v>
      </c>
    </row>
    <row r="111" spans="1:10" x14ac:dyDescent="0.3">
      <c r="A111" t="s">
        <v>16</v>
      </c>
      <c r="B111" t="s">
        <v>3</v>
      </c>
      <c r="C111" t="s">
        <v>224</v>
      </c>
      <c r="D111" t="s">
        <v>235</v>
      </c>
      <c r="E111">
        <v>66</v>
      </c>
      <c r="F111">
        <v>7</v>
      </c>
      <c r="G111" s="1">
        <v>555</v>
      </c>
      <c r="H111" s="1">
        <v>555</v>
      </c>
      <c r="I111" s="1">
        <v>555</v>
      </c>
      <c r="J111" s="1">
        <v>1000</v>
      </c>
    </row>
    <row r="112" spans="1:10" x14ac:dyDescent="0.3">
      <c r="A112" t="s">
        <v>16</v>
      </c>
      <c r="B112" t="s">
        <v>3</v>
      </c>
      <c r="C112" t="s">
        <v>224</v>
      </c>
      <c r="D112" t="s">
        <v>234</v>
      </c>
      <c r="E112">
        <v>66</v>
      </c>
      <c r="F112">
        <v>35</v>
      </c>
      <c r="G112" s="1">
        <v>21</v>
      </c>
      <c r="H112" s="1">
        <v>21</v>
      </c>
      <c r="I112" s="1">
        <v>19</v>
      </c>
      <c r="J112" s="1">
        <v>900</v>
      </c>
    </row>
    <row r="113" spans="1:10" x14ac:dyDescent="0.3">
      <c r="A113" t="s">
        <v>16</v>
      </c>
      <c r="B113" t="s">
        <v>3</v>
      </c>
      <c r="C113" t="s">
        <v>224</v>
      </c>
      <c r="D113" t="s">
        <v>233</v>
      </c>
      <c r="E113">
        <v>66</v>
      </c>
      <c r="F113">
        <v>42</v>
      </c>
      <c r="G113" s="1">
        <v>20</v>
      </c>
      <c r="H113" s="1">
        <v>20</v>
      </c>
      <c r="I113" s="1">
        <v>18</v>
      </c>
      <c r="J113" s="1">
        <v>900</v>
      </c>
    </row>
    <row r="114" spans="1:10" x14ac:dyDescent="0.3">
      <c r="A114" t="s">
        <v>16</v>
      </c>
      <c r="B114" t="s">
        <v>3</v>
      </c>
      <c r="C114" t="s">
        <v>224</v>
      </c>
      <c r="D114" t="s">
        <v>232</v>
      </c>
      <c r="E114">
        <v>66</v>
      </c>
      <c r="F114">
        <v>49</v>
      </c>
      <c r="G114" s="1">
        <v>85</v>
      </c>
      <c r="H114" s="1">
        <v>85</v>
      </c>
      <c r="I114" s="1">
        <v>94</v>
      </c>
      <c r="J114" s="1">
        <v>1100</v>
      </c>
    </row>
    <row r="115" spans="1:10" x14ac:dyDescent="0.3">
      <c r="A115" t="s">
        <v>16</v>
      </c>
      <c r="B115" t="s">
        <v>3</v>
      </c>
      <c r="C115" t="s">
        <v>224</v>
      </c>
      <c r="D115" t="s">
        <v>228</v>
      </c>
      <c r="E115">
        <v>66</v>
      </c>
      <c r="F115">
        <v>98</v>
      </c>
      <c r="G115" s="1">
        <v>30</v>
      </c>
      <c r="H115" s="1">
        <v>30</v>
      </c>
      <c r="I115" s="1">
        <v>33</v>
      </c>
      <c r="J115" s="1">
        <v>1100</v>
      </c>
    </row>
    <row r="116" spans="1:10" x14ac:dyDescent="0.3">
      <c r="A116" t="s">
        <v>16</v>
      </c>
      <c r="B116" t="s">
        <v>3</v>
      </c>
      <c r="C116" t="s">
        <v>224</v>
      </c>
      <c r="D116" t="s">
        <v>227</v>
      </c>
      <c r="E116">
        <v>66</v>
      </c>
      <c r="F116">
        <v>112</v>
      </c>
      <c r="G116" s="1">
        <v>200</v>
      </c>
      <c r="H116" s="1">
        <v>200</v>
      </c>
      <c r="I116" s="1">
        <v>180</v>
      </c>
      <c r="J116" s="1">
        <v>900</v>
      </c>
    </row>
    <row r="117" spans="1:10" x14ac:dyDescent="0.3">
      <c r="A117" t="s">
        <v>15</v>
      </c>
      <c r="B117" t="s">
        <v>3</v>
      </c>
      <c r="C117" t="s">
        <v>224</v>
      </c>
      <c r="D117" t="s">
        <v>235</v>
      </c>
      <c r="E117">
        <v>66</v>
      </c>
      <c r="F117">
        <v>7</v>
      </c>
      <c r="G117" s="1">
        <v>6594</v>
      </c>
      <c r="H117" s="1">
        <v>6594</v>
      </c>
      <c r="I117" s="1">
        <v>6594</v>
      </c>
      <c r="J117" s="1">
        <v>1000</v>
      </c>
    </row>
    <row r="118" spans="1:10" x14ac:dyDescent="0.3">
      <c r="A118" t="s">
        <v>15</v>
      </c>
      <c r="B118" t="s">
        <v>3</v>
      </c>
      <c r="C118" t="s">
        <v>224</v>
      </c>
      <c r="D118" t="s">
        <v>236</v>
      </c>
      <c r="E118">
        <v>66</v>
      </c>
      <c r="F118">
        <v>14</v>
      </c>
      <c r="G118" s="1">
        <v>328</v>
      </c>
      <c r="H118" s="1">
        <v>328</v>
      </c>
      <c r="I118" s="1">
        <v>295</v>
      </c>
      <c r="J118" s="1">
        <v>899</v>
      </c>
    </row>
    <row r="119" spans="1:10" x14ac:dyDescent="0.3">
      <c r="A119" t="s">
        <v>15</v>
      </c>
      <c r="B119" t="s">
        <v>3</v>
      </c>
      <c r="C119" t="s">
        <v>224</v>
      </c>
      <c r="D119" t="s">
        <v>233</v>
      </c>
      <c r="E119">
        <v>66</v>
      </c>
      <c r="F119">
        <v>42</v>
      </c>
      <c r="G119" s="1">
        <v>100</v>
      </c>
      <c r="H119" s="1">
        <v>100</v>
      </c>
      <c r="I119" s="1">
        <v>130</v>
      </c>
      <c r="J119" s="1">
        <v>1300</v>
      </c>
    </row>
    <row r="120" spans="1:10" x14ac:dyDescent="0.3">
      <c r="A120" t="s">
        <v>15</v>
      </c>
      <c r="B120" t="s">
        <v>3</v>
      </c>
      <c r="C120" t="s">
        <v>224</v>
      </c>
      <c r="D120" t="s">
        <v>232</v>
      </c>
      <c r="E120">
        <v>66</v>
      </c>
      <c r="F120">
        <v>49</v>
      </c>
      <c r="G120" s="1">
        <v>135</v>
      </c>
      <c r="H120" s="1">
        <v>135</v>
      </c>
      <c r="I120" s="1">
        <v>149</v>
      </c>
      <c r="J120" s="1">
        <v>1104</v>
      </c>
    </row>
    <row r="121" spans="1:10" x14ac:dyDescent="0.3">
      <c r="A121" t="s">
        <v>15</v>
      </c>
      <c r="B121" t="s">
        <v>3</v>
      </c>
      <c r="C121" t="s">
        <v>224</v>
      </c>
      <c r="D121" t="s">
        <v>231</v>
      </c>
      <c r="E121">
        <v>66</v>
      </c>
      <c r="F121">
        <v>56</v>
      </c>
      <c r="G121" s="1">
        <v>6000</v>
      </c>
      <c r="H121" s="1">
        <v>6000</v>
      </c>
      <c r="I121" s="1">
        <v>6600</v>
      </c>
      <c r="J121" s="1">
        <v>1100</v>
      </c>
    </row>
    <row r="122" spans="1:10" x14ac:dyDescent="0.3">
      <c r="A122" t="s">
        <v>15</v>
      </c>
      <c r="B122" t="s">
        <v>3</v>
      </c>
      <c r="C122" t="s">
        <v>224</v>
      </c>
      <c r="D122" t="s">
        <v>227</v>
      </c>
      <c r="E122">
        <v>66</v>
      </c>
      <c r="F122">
        <v>112</v>
      </c>
      <c r="G122" s="1">
        <v>360</v>
      </c>
      <c r="H122" s="1">
        <v>360</v>
      </c>
      <c r="I122" s="1">
        <v>432</v>
      </c>
      <c r="J122" s="1">
        <v>1200</v>
      </c>
    </row>
    <row r="123" spans="1:10" x14ac:dyDescent="0.3">
      <c r="A123" t="s">
        <v>15</v>
      </c>
      <c r="B123" t="s">
        <v>3</v>
      </c>
      <c r="C123" t="s">
        <v>224</v>
      </c>
      <c r="D123" t="s">
        <v>226</v>
      </c>
      <c r="E123">
        <v>66</v>
      </c>
      <c r="F123">
        <v>126</v>
      </c>
      <c r="G123" s="1">
        <v>1200</v>
      </c>
      <c r="H123" s="1">
        <v>1200</v>
      </c>
      <c r="I123" s="1">
        <v>1080</v>
      </c>
      <c r="J123" s="1">
        <v>900</v>
      </c>
    </row>
    <row r="124" spans="1:10" x14ac:dyDescent="0.3">
      <c r="A124" t="s">
        <v>15</v>
      </c>
      <c r="B124" t="s">
        <v>3</v>
      </c>
      <c r="C124" t="s">
        <v>224</v>
      </c>
      <c r="D124" t="s">
        <v>58</v>
      </c>
      <c r="E124">
        <v>66</v>
      </c>
      <c r="F124">
        <v>133</v>
      </c>
      <c r="G124" s="1">
        <v>1000</v>
      </c>
      <c r="H124" s="1">
        <v>1000</v>
      </c>
      <c r="I124" s="1">
        <v>1000</v>
      </c>
      <c r="J124" s="1">
        <v>1000</v>
      </c>
    </row>
    <row r="125" spans="1:10" x14ac:dyDescent="0.3">
      <c r="A125" t="s">
        <v>15</v>
      </c>
      <c r="B125" t="s">
        <v>3</v>
      </c>
      <c r="C125" t="s">
        <v>224</v>
      </c>
      <c r="D125" t="s">
        <v>225</v>
      </c>
      <c r="E125">
        <v>66</v>
      </c>
      <c r="F125">
        <v>140</v>
      </c>
      <c r="G125" s="1">
        <v>110</v>
      </c>
      <c r="H125" s="1">
        <v>110</v>
      </c>
      <c r="I125" s="1">
        <v>99</v>
      </c>
      <c r="J125" s="1">
        <v>900</v>
      </c>
    </row>
    <row r="126" spans="1:10" x14ac:dyDescent="0.3">
      <c r="A126" t="s">
        <v>13</v>
      </c>
      <c r="B126" t="s">
        <v>3</v>
      </c>
      <c r="C126" t="s">
        <v>224</v>
      </c>
      <c r="D126" t="s">
        <v>234</v>
      </c>
      <c r="E126">
        <v>66</v>
      </c>
      <c r="F126">
        <v>35</v>
      </c>
      <c r="G126" s="1">
        <v>50</v>
      </c>
      <c r="H126" s="1">
        <v>50</v>
      </c>
      <c r="I126" s="1">
        <v>50</v>
      </c>
      <c r="J126" s="1">
        <v>1000</v>
      </c>
    </row>
    <row r="127" spans="1:10" x14ac:dyDescent="0.3">
      <c r="A127" t="s">
        <v>11</v>
      </c>
      <c r="B127" t="s">
        <v>3</v>
      </c>
      <c r="C127" t="s">
        <v>224</v>
      </c>
      <c r="D127" t="s">
        <v>235</v>
      </c>
      <c r="E127">
        <v>66</v>
      </c>
      <c r="F127">
        <v>7</v>
      </c>
      <c r="G127" s="1">
        <v>800</v>
      </c>
      <c r="H127" s="1">
        <v>800</v>
      </c>
      <c r="I127" s="1">
        <v>800</v>
      </c>
      <c r="J127" s="1">
        <v>1000</v>
      </c>
    </row>
    <row r="128" spans="1:10" x14ac:dyDescent="0.3">
      <c r="A128" t="s">
        <v>11</v>
      </c>
      <c r="B128" t="s">
        <v>3</v>
      </c>
      <c r="C128" t="s">
        <v>224</v>
      </c>
      <c r="D128" t="s">
        <v>234</v>
      </c>
      <c r="E128">
        <v>66</v>
      </c>
      <c r="F128">
        <v>35</v>
      </c>
      <c r="G128" s="1">
        <v>20</v>
      </c>
      <c r="H128" s="1">
        <v>20</v>
      </c>
      <c r="I128" s="1">
        <v>22</v>
      </c>
      <c r="J128" s="1">
        <v>1100</v>
      </c>
    </row>
    <row r="129" spans="1:10" x14ac:dyDescent="0.3">
      <c r="A129" t="s">
        <v>11</v>
      </c>
      <c r="B129" t="s">
        <v>3</v>
      </c>
      <c r="C129" t="s">
        <v>224</v>
      </c>
      <c r="D129" t="s">
        <v>227</v>
      </c>
      <c r="E129">
        <v>66</v>
      </c>
      <c r="F129">
        <v>112</v>
      </c>
      <c r="G129" s="1">
        <v>600</v>
      </c>
      <c r="H129" s="1">
        <v>600</v>
      </c>
      <c r="I129" s="1">
        <v>540</v>
      </c>
      <c r="J129" s="1">
        <v>900</v>
      </c>
    </row>
    <row r="130" spans="1:10" x14ac:dyDescent="0.3">
      <c r="A130" t="s">
        <v>11</v>
      </c>
      <c r="B130" t="s">
        <v>3</v>
      </c>
      <c r="C130" t="s">
        <v>224</v>
      </c>
      <c r="D130" t="s">
        <v>225</v>
      </c>
      <c r="E130">
        <v>66</v>
      </c>
      <c r="F130">
        <v>140</v>
      </c>
      <c r="G130" s="1">
        <v>1000</v>
      </c>
      <c r="H130" s="1">
        <v>1000</v>
      </c>
      <c r="I130" s="1">
        <v>900</v>
      </c>
      <c r="J130" s="1">
        <v>900</v>
      </c>
    </row>
    <row r="131" spans="1:10" x14ac:dyDescent="0.3">
      <c r="A131" t="s">
        <v>10</v>
      </c>
      <c r="B131" t="s">
        <v>3</v>
      </c>
      <c r="C131" t="s">
        <v>224</v>
      </c>
      <c r="D131" t="s">
        <v>235</v>
      </c>
      <c r="E131">
        <v>66</v>
      </c>
      <c r="F131">
        <v>7</v>
      </c>
      <c r="G131" s="1">
        <v>400</v>
      </c>
      <c r="H131" s="1">
        <v>400</v>
      </c>
      <c r="I131" s="1">
        <v>360</v>
      </c>
      <c r="J131" s="1">
        <v>900</v>
      </c>
    </row>
    <row r="132" spans="1:10" x14ac:dyDescent="0.3">
      <c r="A132" t="s">
        <v>10</v>
      </c>
      <c r="B132" t="s">
        <v>3</v>
      </c>
      <c r="C132" t="s">
        <v>224</v>
      </c>
      <c r="D132" t="s">
        <v>232</v>
      </c>
      <c r="E132">
        <v>66</v>
      </c>
      <c r="F132">
        <v>49</v>
      </c>
      <c r="G132" s="1">
        <v>60</v>
      </c>
      <c r="H132" s="1">
        <v>60</v>
      </c>
      <c r="I132" s="1">
        <v>60</v>
      </c>
      <c r="J132" s="1">
        <v>1000</v>
      </c>
    </row>
    <row r="133" spans="1:10" x14ac:dyDescent="0.3">
      <c r="A133" t="s">
        <v>10</v>
      </c>
      <c r="B133" t="s">
        <v>3</v>
      </c>
      <c r="C133" t="s">
        <v>224</v>
      </c>
      <c r="D133" t="s">
        <v>227</v>
      </c>
      <c r="E133">
        <v>66</v>
      </c>
      <c r="F133">
        <v>112</v>
      </c>
      <c r="G133" s="1">
        <v>105</v>
      </c>
      <c r="H133" s="1">
        <v>105</v>
      </c>
      <c r="I133" s="1">
        <v>126</v>
      </c>
      <c r="J133" s="1">
        <v>1200</v>
      </c>
    </row>
    <row r="134" spans="1:10" x14ac:dyDescent="0.3">
      <c r="A134" t="s">
        <v>10</v>
      </c>
      <c r="B134" t="s">
        <v>3</v>
      </c>
      <c r="C134" t="s">
        <v>224</v>
      </c>
      <c r="D134" t="s">
        <v>225</v>
      </c>
      <c r="E134">
        <v>66</v>
      </c>
      <c r="F134">
        <v>140</v>
      </c>
      <c r="G134" s="1">
        <v>70</v>
      </c>
      <c r="H134" s="1">
        <v>70</v>
      </c>
      <c r="I134" s="1">
        <v>63</v>
      </c>
      <c r="J134" s="1">
        <v>900</v>
      </c>
    </row>
    <row r="135" spans="1:10" x14ac:dyDescent="0.3">
      <c r="A135" t="s">
        <v>1</v>
      </c>
      <c r="B135" t="s">
        <v>3</v>
      </c>
      <c r="C135" t="s">
        <v>224</v>
      </c>
      <c r="D135" t="s">
        <v>235</v>
      </c>
      <c r="E135">
        <v>66</v>
      </c>
      <c r="F135">
        <v>7</v>
      </c>
      <c r="G135" s="1">
        <v>33100</v>
      </c>
      <c r="H135" s="1">
        <v>33100</v>
      </c>
      <c r="I135" s="1">
        <v>39720</v>
      </c>
      <c r="J135" s="1">
        <v>1200</v>
      </c>
    </row>
    <row r="136" spans="1:10" x14ac:dyDescent="0.3">
      <c r="A136" t="s">
        <v>1</v>
      </c>
      <c r="B136" t="s">
        <v>3</v>
      </c>
      <c r="C136" t="s">
        <v>224</v>
      </c>
      <c r="D136" t="s">
        <v>41</v>
      </c>
      <c r="E136">
        <v>66</v>
      </c>
      <c r="F136">
        <v>28</v>
      </c>
      <c r="G136" s="1">
        <v>450</v>
      </c>
      <c r="H136" s="1">
        <v>450</v>
      </c>
      <c r="I136" s="1">
        <v>495</v>
      </c>
      <c r="J136" s="1">
        <v>1100</v>
      </c>
    </row>
    <row r="137" spans="1:10" x14ac:dyDescent="0.3">
      <c r="A137" t="s">
        <v>1</v>
      </c>
      <c r="B137" t="s">
        <v>3</v>
      </c>
      <c r="C137" t="s">
        <v>224</v>
      </c>
      <c r="D137" t="s">
        <v>234</v>
      </c>
      <c r="E137">
        <v>66</v>
      </c>
      <c r="F137">
        <v>35</v>
      </c>
      <c r="G137" s="1">
        <v>150</v>
      </c>
      <c r="H137" s="1">
        <v>150</v>
      </c>
      <c r="I137" s="1">
        <v>195</v>
      </c>
      <c r="J137" s="1">
        <v>1300</v>
      </c>
    </row>
    <row r="138" spans="1:10" x14ac:dyDescent="0.3">
      <c r="A138" t="s">
        <v>1</v>
      </c>
      <c r="B138" t="s">
        <v>3</v>
      </c>
      <c r="C138" t="s">
        <v>224</v>
      </c>
      <c r="D138" t="s">
        <v>233</v>
      </c>
      <c r="E138">
        <v>66</v>
      </c>
      <c r="F138">
        <v>42</v>
      </c>
      <c r="G138" s="1">
        <v>350</v>
      </c>
      <c r="H138" s="1">
        <v>350</v>
      </c>
      <c r="I138" s="1">
        <v>420</v>
      </c>
      <c r="J138" s="1">
        <v>1200</v>
      </c>
    </row>
    <row r="139" spans="1:10" x14ac:dyDescent="0.3">
      <c r="A139" t="s">
        <v>1</v>
      </c>
      <c r="B139" t="s">
        <v>3</v>
      </c>
      <c r="C139" t="s">
        <v>224</v>
      </c>
      <c r="D139" t="s">
        <v>232</v>
      </c>
      <c r="E139">
        <v>66</v>
      </c>
      <c r="F139">
        <v>49</v>
      </c>
      <c r="G139" s="1">
        <v>225</v>
      </c>
      <c r="H139" s="1">
        <v>225</v>
      </c>
      <c r="I139" s="1">
        <v>270</v>
      </c>
      <c r="J139" s="1">
        <v>1200</v>
      </c>
    </row>
    <row r="140" spans="1:10" x14ac:dyDescent="0.3">
      <c r="A140" t="s">
        <v>1</v>
      </c>
      <c r="B140" t="s">
        <v>3</v>
      </c>
      <c r="C140" t="s">
        <v>224</v>
      </c>
      <c r="D140" t="s">
        <v>231</v>
      </c>
      <c r="E140">
        <v>66</v>
      </c>
      <c r="F140">
        <v>56</v>
      </c>
      <c r="G140" s="1">
        <v>9630</v>
      </c>
      <c r="H140" s="1">
        <v>9630</v>
      </c>
      <c r="I140" s="1">
        <v>9630</v>
      </c>
      <c r="J140" s="1">
        <v>1000</v>
      </c>
    </row>
    <row r="141" spans="1:10" x14ac:dyDescent="0.3">
      <c r="A141" t="s">
        <v>1</v>
      </c>
      <c r="B141" t="s">
        <v>3</v>
      </c>
      <c r="C141" t="s">
        <v>224</v>
      </c>
      <c r="D141" t="s">
        <v>227</v>
      </c>
      <c r="E141">
        <v>66</v>
      </c>
      <c r="F141">
        <v>112</v>
      </c>
      <c r="G141" s="1">
        <v>3800</v>
      </c>
      <c r="H141" s="1">
        <v>3800</v>
      </c>
      <c r="I141" s="1">
        <v>4180</v>
      </c>
      <c r="J141" s="1">
        <v>1100</v>
      </c>
    </row>
    <row r="142" spans="1:10" x14ac:dyDescent="0.3">
      <c r="A142" t="s">
        <v>1</v>
      </c>
      <c r="B142" t="s">
        <v>3</v>
      </c>
      <c r="C142" t="s">
        <v>224</v>
      </c>
      <c r="D142" t="s">
        <v>226</v>
      </c>
      <c r="E142">
        <v>66</v>
      </c>
      <c r="F142">
        <v>126</v>
      </c>
      <c r="G142" s="1">
        <v>4520</v>
      </c>
      <c r="H142" s="1">
        <v>4520</v>
      </c>
      <c r="I142" s="1">
        <v>4068</v>
      </c>
      <c r="J142" s="1">
        <v>900</v>
      </c>
    </row>
    <row r="143" spans="1:10" x14ac:dyDescent="0.3">
      <c r="A143" t="s">
        <v>1</v>
      </c>
      <c r="B143" t="s">
        <v>3</v>
      </c>
      <c r="C143" t="s">
        <v>224</v>
      </c>
      <c r="D143" t="s">
        <v>58</v>
      </c>
      <c r="E143">
        <v>66</v>
      </c>
      <c r="F143">
        <v>133</v>
      </c>
      <c r="G143" s="1">
        <v>1500</v>
      </c>
      <c r="H143" s="1">
        <v>1500</v>
      </c>
      <c r="I143" s="1">
        <v>1350</v>
      </c>
      <c r="J143" s="1">
        <v>900</v>
      </c>
    </row>
    <row r="144" spans="1:10" x14ac:dyDescent="0.3">
      <c r="A144" t="s">
        <v>1</v>
      </c>
      <c r="B144" t="s">
        <v>3</v>
      </c>
      <c r="C144" t="s">
        <v>224</v>
      </c>
      <c r="D144" t="s">
        <v>225</v>
      </c>
      <c r="E144">
        <v>66</v>
      </c>
      <c r="F144">
        <v>140</v>
      </c>
      <c r="G144" s="1">
        <v>5880</v>
      </c>
      <c r="H144" s="1">
        <v>5880</v>
      </c>
      <c r="I144" s="1">
        <v>5292</v>
      </c>
      <c r="J144" s="1">
        <v>900</v>
      </c>
    </row>
    <row r="145" spans="1:10" x14ac:dyDescent="0.3">
      <c r="A145" t="s">
        <v>1</v>
      </c>
      <c r="B145" t="s">
        <v>3</v>
      </c>
      <c r="C145" t="s">
        <v>224</v>
      </c>
      <c r="D145" t="s">
        <v>223</v>
      </c>
      <c r="E145">
        <v>66</v>
      </c>
      <c r="F145">
        <v>147</v>
      </c>
      <c r="G145" s="1">
        <v>70</v>
      </c>
      <c r="H145" s="1">
        <v>70</v>
      </c>
      <c r="I145" s="1">
        <v>77</v>
      </c>
      <c r="J145" s="1">
        <v>1100</v>
      </c>
    </row>
    <row r="146" spans="1:10" x14ac:dyDescent="0.3">
      <c r="A146" t="s">
        <v>120</v>
      </c>
      <c r="B146" t="s">
        <v>3</v>
      </c>
      <c r="C146" t="s">
        <v>224</v>
      </c>
      <c r="D146" t="s">
        <v>235</v>
      </c>
      <c r="E146">
        <v>66</v>
      </c>
      <c r="F146">
        <v>7</v>
      </c>
      <c r="G146" s="1">
        <v>114</v>
      </c>
      <c r="H146" s="1">
        <v>114</v>
      </c>
      <c r="I146" s="1">
        <v>114</v>
      </c>
      <c r="J146" s="1">
        <v>1000</v>
      </c>
    </row>
    <row r="147" spans="1:10" x14ac:dyDescent="0.3">
      <c r="A147" t="s">
        <v>120</v>
      </c>
      <c r="B147" t="s">
        <v>3</v>
      </c>
      <c r="C147" t="s">
        <v>224</v>
      </c>
      <c r="D147" t="s">
        <v>227</v>
      </c>
      <c r="E147">
        <v>66</v>
      </c>
      <c r="F147">
        <v>112</v>
      </c>
      <c r="G147" s="1">
        <v>30</v>
      </c>
      <c r="H147" s="1">
        <v>30</v>
      </c>
      <c r="I147" s="1">
        <v>33</v>
      </c>
      <c r="J147" s="1">
        <v>1100</v>
      </c>
    </row>
    <row r="148" spans="1:10" x14ac:dyDescent="0.3">
      <c r="A148" t="s">
        <v>120</v>
      </c>
      <c r="B148" t="s">
        <v>3</v>
      </c>
      <c r="C148" t="s">
        <v>224</v>
      </c>
      <c r="D148" t="s">
        <v>58</v>
      </c>
      <c r="E148">
        <v>66</v>
      </c>
      <c r="F148">
        <v>133</v>
      </c>
      <c r="G148" s="1">
        <v>265</v>
      </c>
      <c r="H148" s="1">
        <v>265</v>
      </c>
      <c r="I148" s="1">
        <v>292</v>
      </c>
      <c r="J148" s="1">
        <v>1100</v>
      </c>
    </row>
    <row r="149" spans="1:10" x14ac:dyDescent="0.3">
      <c r="A149" t="s">
        <v>120</v>
      </c>
      <c r="B149" t="s">
        <v>3</v>
      </c>
      <c r="C149" t="s">
        <v>224</v>
      </c>
      <c r="D149" t="s">
        <v>225</v>
      </c>
      <c r="E149">
        <v>66</v>
      </c>
      <c r="F149">
        <v>140</v>
      </c>
      <c r="G149" s="1">
        <v>50</v>
      </c>
      <c r="H149" s="1">
        <v>50</v>
      </c>
      <c r="I149" s="1">
        <v>55</v>
      </c>
      <c r="J149" s="1">
        <v>1100</v>
      </c>
    </row>
    <row r="150" spans="1:10" x14ac:dyDescent="0.3">
      <c r="A150" t="s">
        <v>202</v>
      </c>
      <c r="B150" t="s">
        <v>3</v>
      </c>
      <c r="C150" t="s">
        <v>224</v>
      </c>
      <c r="D150" t="s">
        <v>235</v>
      </c>
      <c r="E150">
        <v>66</v>
      </c>
      <c r="F150">
        <v>7</v>
      </c>
      <c r="G150" s="1">
        <v>600</v>
      </c>
      <c r="H150" s="1">
        <v>600</v>
      </c>
      <c r="I150" s="1">
        <v>360</v>
      </c>
      <c r="J150" s="1">
        <v>600</v>
      </c>
    </row>
    <row r="151" spans="1:10" x14ac:dyDescent="0.3">
      <c r="A151" t="s">
        <v>202</v>
      </c>
      <c r="B151" t="s">
        <v>3</v>
      </c>
      <c r="C151" t="s">
        <v>224</v>
      </c>
      <c r="D151" t="s">
        <v>231</v>
      </c>
      <c r="E151">
        <v>66</v>
      </c>
      <c r="F151">
        <v>56</v>
      </c>
      <c r="G151" s="1">
        <v>38</v>
      </c>
      <c r="H151" s="1">
        <v>38</v>
      </c>
      <c r="I151" s="1">
        <v>42</v>
      </c>
      <c r="J151" s="1">
        <v>1105</v>
      </c>
    </row>
    <row r="152" spans="1:10" x14ac:dyDescent="0.3">
      <c r="A152" t="s">
        <v>202</v>
      </c>
      <c r="B152" t="s">
        <v>3</v>
      </c>
      <c r="C152" t="s">
        <v>224</v>
      </c>
      <c r="D152" t="s">
        <v>227</v>
      </c>
      <c r="E152">
        <v>66</v>
      </c>
      <c r="F152">
        <v>112</v>
      </c>
      <c r="G152" s="1">
        <v>60</v>
      </c>
      <c r="H152" s="1">
        <v>60</v>
      </c>
      <c r="I152" s="1">
        <v>54</v>
      </c>
      <c r="J152" s="1">
        <v>900</v>
      </c>
    </row>
    <row r="153" spans="1:10" x14ac:dyDescent="0.3">
      <c r="A153" t="s">
        <v>119</v>
      </c>
      <c r="B153" t="s">
        <v>3</v>
      </c>
      <c r="C153" t="s">
        <v>224</v>
      </c>
      <c r="D153" t="s">
        <v>235</v>
      </c>
      <c r="E153">
        <v>66</v>
      </c>
      <c r="F153">
        <v>7</v>
      </c>
      <c r="G153" s="1">
        <v>145278</v>
      </c>
      <c r="H153" s="1">
        <v>123538</v>
      </c>
      <c r="I153" s="1">
        <v>741228</v>
      </c>
      <c r="J153" s="1">
        <v>6000</v>
      </c>
    </row>
    <row r="154" spans="1:10" x14ac:dyDescent="0.3">
      <c r="A154" t="s">
        <v>119</v>
      </c>
      <c r="B154" t="s">
        <v>3</v>
      </c>
      <c r="C154" t="s">
        <v>224</v>
      </c>
      <c r="D154" t="s">
        <v>236</v>
      </c>
      <c r="E154">
        <v>66</v>
      </c>
      <c r="F154">
        <v>14</v>
      </c>
      <c r="G154" s="1">
        <v>186</v>
      </c>
      <c r="H154" s="1">
        <v>186</v>
      </c>
      <c r="I154" s="1">
        <v>1023</v>
      </c>
      <c r="J154" s="1">
        <v>5500</v>
      </c>
    </row>
    <row r="155" spans="1:10" x14ac:dyDescent="0.3">
      <c r="A155" t="s">
        <v>119</v>
      </c>
      <c r="B155" t="s">
        <v>3</v>
      </c>
      <c r="C155" t="s">
        <v>224</v>
      </c>
      <c r="D155" t="s">
        <v>41</v>
      </c>
      <c r="E155">
        <v>66</v>
      </c>
      <c r="F155">
        <v>28</v>
      </c>
      <c r="G155" s="1">
        <v>720</v>
      </c>
      <c r="H155" s="1">
        <v>720</v>
      </c>
      <c r="I155" s="1">
        <v>4536</v>
      </c>
      <c r="J155" s="1">
        <v>6300</v>
      </c>
    </row>
    <row r="156" spans="1:10" x14ac:dyDescent="0.3">
      <c r="A156" t="s">
        <v>119</v>
      </c>
      <c r="B156" t="s">
        <v>3</v>
      </c>
      <c r="C156" t="s">
        <v>224</v>
      </c>
      <c r="D156" t="s">
        <v>234</v>
      </c>
      <c r="E156">
        <v>66</v>
      </c>
      <c r="F156">
        <v>35</v>
      </c>
      <c r="G156" s="1">
        <v>1300</v>
      </c>
      <c r="H156" s="1">
        <v>1300</v>
      </c>
      <c r="I156" s="1">
        <v>8190</v>
      </c>
      <c r="J156" s="1">
        <v>6300</v>
      </c>
    </row>
    <row r="157" spans="1:10" x14ac:dyDescent="0.3">
      <c r="A157" t="s">
        <v>119</v>
      </c>
      <c r="B157" t="s">
        <v>3</v>
      </c>
      <c r="C157" t="s">
        <v>224</v>
      </c>
      <c r="D157" t="s">
        <v>233</v>
      </c>
      <c r="E157">
        <v>66</v>
      </c>
      <c r="F157">
        <v>42</v>
      </c>
      <c r="G157" s="1">
        <v>1350</v>
      </c>
      <c r="H157" s="1">
        <v>1250</v>
      </c>
      <c r="I157" s="1">
        <v>7500</v>
      </c>
      <c r="J157" s="1">
        <v>6000</v>
      </c>
    </row>
    <row r="158" spans="1:10" x14ac:dyDescent="0.3">
      <c r="A158" t="s">
        <v>119</v>
      </c>
      <c r="B158" t="s">
        <v>3</v>
      </c>
      <c r="C158" t="s">
        <v>224</v>
      </c>
      <c r="D158" t="s">
        <v>232</v>
      </c>
      <c r="E158">
        <v>66</v>
      </c>
      <c r="F158">
        <v>49</v>
      </c>
      <c r="G158" s="1">
        <v>5600</v>
      </c>
      <c r="H158" s="1">
        <v>5040</v>
      </c>
      <c r="I158" s="1">
        <v>31752</v>
      </c>
      <c r="J158" s="1">
        <v>6300</v>
      </c>
    </row>
    <row r="159" spans="1:10" x14ac:dyDescent="0.3">
      <c r="A159" t="s">
        <v>119</v>
      </c>
      <c r="B159" t="s">
        <v>3</v>
      </c>
      <c r="C159" t="s">
        <v>224</v>
      </c>
      <c r="D159" t="s">
        <v>231</v>
      </c>
      <c r="E159">
        <v>66</v>
      </c>
      <c r="F159">
        <v>56</v>
      </c>
      <c r="G159" s="1">
        <v>46633</v>
      </c>
      <c r="H159" s="1">
        <v>42033</v>
      </c>
      <c r="I159" s="1">
        <v>252198</v>
      </c>
      <c r="J159" s="1">
        <v>6000</v>
      </c>
    </row>
    <row r="160" spans="1:10" x14ac:dyDescent="0.3">
      <c r="A160" t="s">
        <v>119</v>
      </c>
      <c r="B160" t="s">
        <v>3</v>
      </c>
      <c r="C160" t="s">
        <v>224</v>
      </c>
      <c r="D160" t="s">
        <v>238</v>
      </c>
      <c r="E160">
        <v>66</v>
      </c>
      <c r="F160">
        <v>63</v>
      </c>
      <c r="G160" s="1">
        <v>100</v>
      </c>
      <c r="H160" s="1">
        <v>80</v>
      </c>
      <c r="I160" s="1">
        <v>464</v>
      </c>
      <c r="J160" s="1">
        <v>5800</v>
      </c>
    </row>
    <row r="161" spans="1:10" x14ac:dyDescent="0.3">
      <c r="A161" t="s">
        <v>119</v>
      </c>
      <c r="B161" t="s">
        <v>3</v>
      </c>
      <c r="C161" t="s">
        <v>224</v>
      </c>
      <c r="D161" t="s">
        <v>230</v>
      </c>
      <c r="E161">
        <v>66</v>
      </c>
      <c r="F161">
        <v>77</v>
      </c>
      <c r="G161" s="1">
        <v>150</v>
      </c>
      <c r="H161" s="1">
        <v>150</v>
      </c>
      <c r="I161" s="1">
        <v>900</v>
      </c>
      <c r="J161" s="1">
        <v>6000</v>
      </c>
    </row>
    <row r="162" spans="1:10" x14ac:dyDescent="0.3">
      <c r="A162" t="s">
        <v>119</v>
      </c>
      <c r="B162" t="s">
        <v>3</v>
      </c>
      <c r="C162" t="s">
        <v>224</v>
      </c>
      <c r="D162" t="s">
        <v>229</v>
      </c>
      <c r="E162">
        <v>66</v>
      </c>
      <c r="F162">
        <v>84</v>
      </c>
      <c r="G162" s="1">
        <v>4550</v>
      </c>
      <c r="H162" s="1">
        <v>4550</v>
      </c>
      <c r="I162" s="1">
        <v>27300</v>
      </c>
      <c r="J162" s="1">
        <v>6000</v>
      </c>
    </row>
    <row r="163" spans="1:10" x14ac:dyDescent="0.3">
      <c r="A163" t="s">
        <v>119</v>
      </c>
      <c r="B163" t="s">
        <v>3</v>
      </c>
      <c r="C163" t="s">
        <v>224</v>
      </c>
      <c r="D163" t="s">
        <v>228</v>
      </c>
      <c r="E163">
        <v>66</v>
      </c>
      <c r="F163">
        <v>98</v>
      </c>
      <c r="G163" s="1">
        <v>150</v>
      </c>
      <c r="H163" s="1">
        <v>150</v>
      </c>
      <c r="I163" s="1">
        <v>870</v>
      </c>
      <c r="J163" s="1">
        <v>5800</v>
      </c>
    </row>
    <row r="164" spans="1:10" x14ac:dyDescent="0.3">
      <c r="A164" t="s">
        <v>119</v>
      </c>
      <c r="B164" t="s">
        <v>3</v>
      </c>
      <c r="C164" t="s">
        <v>224</v>
      </c>
      <c r="D164" t="s">
        <v>227</v>
      </c>
      <c r="E164">
        <v>66</v>
      </c>
      <c r="F164">
        <v>112</v>
      </c>
      <c r="G164" s="1">
        <v>24682</v>
      </c>
      <c r="H164" s="1">
        <v>24182</v>
      </c>
      <c r="I164" s="1">
        <v>157183</v>
      </c>
      <c r="J164" s="1">
        <v>6500</v>
      </c>
    </row>
    <row r="165" spans="1:10" x14ac:dyDescent="0.3">
      <c r="A165" t="s">
        <v>119</v>
      </c>
      <c r="B165" t="s">
        <v>3</v>
      </c>
      <c r="C165" t="s">
        <v>224</v>
      </c>
      <c r="D165" t="s">
        <v>226</v>
      </c>
      <c r="E165">
        <v>66</v>
      </c>
      <c r="F165">
        <v>126</v>
      </c>
      <c r="G165" s="1">
        <v>6668</v>
      </c>
      <c r="H165" s="1">
        <v>6668</v>
      </c>
      <c r="I165" s="1">
        <v>40008</v>
      </c>
      <c r="J165" s="1">
        <v>6000</v>
      </c>
    </row>
    <row r="166" spans="1:10" x14ac:dyDescent="0.3">
      <c r="A166" t="s">
        <v>119</v>
      </c>
      <c r="B166" t="s">
        <v>3</v>
      </c>
      <c r="C166" t="s">
        <v>224</v>
      </c>
      <c r="D166" t="s">
        <v>58</v>
      </c>
      <c r="E166">
        <v>66</v>
      </c>
      <c r="F166">
        <v>133</v>
      </c>
      <c r="G166" s="1">
        <v>11416</v>
      </c>
      <c r="H166" s="1">
        <v>10866</v>
      </c>
      <c r="I166" s="1">
        <v>68456</v>
      </c>
      <c r="J166" s="1">
        <v>6300</v>
      </c>
    </row>
    <row r="167" spans="1:10" x14ac:dyDescent="0.3">
      <c r="A167" t="s">
        <v>119</v>
      </c>
      <c r="B167" t="s">
        <v>3</v>
      </c>
      <c r="C167" t="s">
        <v>224</v>
      </c>
      <c r="D167" t="s">
        <v>225</v>
      </c>
      <c r="E167">
        <v>66</v>
      </c>
      <c r="F167">
        <v>140</v>
      </c>
      <c r="G167" s="1">
        <v>35508</v>
      </c>
      <c r="H167" s="1">
        <v>35208</v>
      </c>
      <c r="I167" s="1">
        <v>228852</v>
      </c>
      <c r="J167" s="1">
        <v>6500</v>
      </c>
    </row>
    <row r="168" spans="1:10" x14ac:dyDescent="0.3">
      <c r="A168" t="s">
        <v>119</v>
      </c>
      <c r="B168" t="s">
        <v>3</v>
      </c>
      <c r="C168" t="s">
        <v>224</v>
      </c>
      <c r="D168" t="s">
        <v>223</v>
      </c>
      <c r="E168">
        <v>66</v>
      </c>
      <c r="F168">
        <v>147</v>
      </c>
      <c r="G168" s="1">
        <v>100</v>
      </c>
      <c r="H168" s="1">
        <v>70</v>
      </c>
      <c r="I168" s="1">
        <v>441</v>
      </c>
      <c r="J168" s="1">
        <v>6300</v>
      </c>
    </row>
    <row r="169" spans="1:10" x14ac:dyDescent="0.3">
      <c r="A169" t="s">
        <v>201</v>
      </c>
      <c r="B169" t="s">
        <v>3</v>
      </c>
      <c r="C169" t="s">
        <v>224</v>
      </c>
      <c r="D169" t="s">
        <v>235</v>
      </c>
      <c r="E169">
        <v>66</v>
      </c>
      <c r="F169">
        <v>7</v>
      </c>
      <c r="G169" s="1">
        <v>260</v>
      </c>
      <c r="H169" s="1">
        <v>260</v>
      </c>
      <c r="I169" s="1">
        <v>0</v>
      </c>
      <c r="J169" s="1">
        <v>0</v>
      </c>
    </row>
    <row r="170" spans="1:10" x14ac:dyDescent="0.3">
      <c r="A170" t="s">
        <v>201</v>
      </c>
      <c r="B170" t="s">
        <v>3</v>
      </c>
      <c r="C170" t="s">
        <v>224</v>
      </c>
      <c r="D170" t="s">
        <v>231</v>
      </c>
      <c r="E170">
        <v>66</v>
      </c>
      <c r="F170">
        <v>56</v>
      </c>
      <c r="G170" s="1">
        <v>1294</v>
      </c>
      <c r="H170" s="1">
        <v>1294</v>
      </c>
      <c r="I170" s="1">
        <v>1423</v>
      </c>
      <c r="J170" s="1">
        <v>1100</v>
      </c>
    </row>
    <row r="171" spans="1:10" x14ac:dyDescent="0.3">
      <c r="A171" t="s">
        <v>201</v>
      </c>
      <c r="B171" t="s">
        <v>3</v>
      </c>
      <c r="C171" t="s">
        <v>224</v>
      </c>
      <c r="D171" t="s">
        <v>227</v>
      </c>
      <c r="E171">
        <v>66</v>
      </c>
      <c r="F171">
        <v>112</v>
      </c>
      <c r="G171" s="1">
        <v>700</v>
      </c>
      <c r="H171" s="1">
        <v>700</v>
      </c>
      <c r="I171" s="1">
        <v>840</v>
      </c>
      <c r="J171" s="1">
        <v>1200</v>
      </c>
    </row>
    <row r="172" spans="1:10" x14ac:dyDescent="0.3">
      <c r="A172" t="s">
        <v>201</v>
      </c>
      <c r="B172" t="s">
        <v>3</v>
      </c>
      <c r="C172" t="s">
        <v>224</v>
      </c>
      <c r="D172" t="s">
        <v>226</v>
      </c>
      <c r="E172">
        <v>66</v>
      </c>
      <c r="F172">
        <v>126</v>
      </c>
      <c r="G172" s="1">
        <v>50</v>
      </c>
      <c r="H172" s="1">
        <v>50</v>
      </c>
      <c r="I172" s="1">
        <v>50</v>
      </c>
      <c r="J172" s="1">
        <v>1000</v>
      </c>
    </row>
    <row r="173" spans="1:10" x14ac:dyDescent="0.3">
      <c r="A173" t="s">
        <v>201</v>
      </c>
      <c r="B173" t="s">
        <v>3</v>
      </c>
      <c r="C173" t="s">
        <v>224</v>
      </c>
      <c r="D173" t="s">
        <v>225</v>
      </c>
      <c r="E173">
        <v>66</v>
      </c>
      <c r="F173">
        <v>140</v>
      </c>
      <c r="G173" s="1">
        <v>280</v>
      </c>
      <c r="H173" s="1">
        <v>280</v>
      </c>
      <c r="I173" s="1">
        <v>280</v>
      </c>
      <c r="J173" s="1">
        <v>1000</v>
      </c>
    </row>
    <row r="174" spans="1:10" x14ac:dyDescent="0.3">
      <c r="A174" t="s">
        <v>237</v>
      </c>
      <c r="B174" t="s">
        <v>3</v>
      </c>
      <c r="C174" t="s">
        <v>224</v>
      </c>
      <c r="D174" t="s">
        <v>235</v>
      </c>
      <c r="E174">
        <v>66</v>
      </c>
      <c r="F174">
        <v>7</v>
      </c>
      <c r="G174" s="1">
        <v>170</v>
      </c>
      <c r="H174" s="1">
        <v>170</v>
      </c>
      <c r="I174" s="1">
        <v>170</v>
      </c>
      <c r="J174" s="1">
        <v>1000</v>
      </c>
    </row>
    <row r="175" spans="1:10" x14ac:dyDescent="0.3">
      <c r="A175" t="s">
        <v>237</v>
      </c>
      <c r="B175" t="s">
        <v>3</v>
      </c>
      <c r="C175" t="s">
        <v>224</v>
      </c>
      <c r="D175" t="s">
        <v>231</v>
      </c>
      <c r="E175">
        <v>66</v>
      </c>
      <c r="F175">
        <v>56</v>
      </c>
      <c r="G175" s="1">
        <v>370</v>
      </c>
      <c r="H175" s="1">
        <v>370</v>
      </c>
      <c r="I175" s="1">
        <v>370</v>
      </c>
      <c r="J175" s="1">
        <v>1000</v>
      </c>
    </row>
    <row r="176" spans="1:10" x14ac:dyDescent="0.3">
      <c r="A176" t="s">
        <v>222</v>
      </c>
      <c r="B176" t="s">
        <v>3</v>
      </c>
      <c r="C176" t="s">
        <v>224</v>
      </c>
      <c r="D176" t="s">
        <v>235</v>
      </c>
      <c r="E176">
        <v>66</v>
      </c>
      <c r="F176">
        <v>7</v>
      </c>
      <c r="G176" s="1">
        <v>9500</v>
      </c>
      <c r="H176" s="1">
        <v>9500</v>
      </c>
      <c r="I176" s="1">
        <v>12350</v>
      </c>
      <c r="J176" s="1">
        <v>1300</v>
      </c>
    </row>
    <row r="177" spans="1:10" x14ac:dyDescent="0.3">
      <c r="A177" t="s">
        <v>222</v>
      </c>
      <c r="B177" t="s">
        <v>3</v>
      </c>
      <c r="C177" t="s">
        <v>224</v>
      </c>
      <c r="D177" t="s">
        <v>231</v>
      </c>
      <c r="E177">
        <v>66</v>
      </c>
      <c r="F177">
        <v>56</v>
      </c>
      <c r="G177" s="1">
        <v>117092</v>
      </c>
      <c r="H177" s="1">
        <v>116092</v>
      </c>
      <c r="I177" s="1">
        <v>127701</v>
      </c>
      <c r="J177" s="1">
        <v>1100</v>
      </c>
    </row>
    <row r="178" spans="1:10" x14ac:dyDescent="0.3">
      <c r="A178" t="s">
        <v>222</v>
      </c>
      <c r="B178" t="s">
        <v>3</v>
      </c>
      <c r="C178" t="s">
        <v>224</v>
      </c>
      <c r="D178" t="s">
        <v>226</v>
      </c>
      <c r="E178">
        <v>66</v>
      </c>
      <c r="F178">
        <v>126</v>
      </c>
      <c r="G178" s="1">
        <v>59977</v>
      </c>
      <c r="H178" s="1">
        <v>58977</v>
      </c>
      <c r="I178" s="1">
        <v>64875</v>
      </c>
      <c r="J178" s="1">
        <v>1100</v>
      </c>
    </row>
    <row r="179" spans="1:10" x14ac:dyDescent="0.3">
      <c r="A179" t="s">
        <v>199</v>
      </c>
      <c r="B179" t="s">
        <v>3</v>
      </c>
      <c r="C179" t="s">
        <v>224</v>
      </c>
      <c r="D179" t="s">
        <v>235</v>
      </c>
      <c r="E179">
        <v>66</v>
      </c>
      <c r="F179">
        <v>7</v>
      </c>
      <c r="G179" s="1">
        <v>35173</v>
      </c>
      <c r="H179" s="1">
        <v>35173</v>
      </c>
      <c r="I179" s="1">
        <v>49242</v>
      </c>
      <c r="J179" s="1">
        <v>1400</v>
      </c>
    </row>
    <row r="180" spans="1:10" x14ac:dyDescent="0.3">
      <c r="A180" t="s">
        <v>199</v>
      </c>
      <c r="B180" t="s">
        <v>3</v>
      </c>
      <c r="C180" t="s">
        <v>224</v>
      </c>
      <c r="D180" t="s">
        <v>41</v>
      </c>
      <c r="E180">
        <v>66</v>
      </c>
      <c r="F180">
        <v>28</v>
      </c>
      <c r="G180" s="1">
        <v>2900</v>
      </c>
      <c r="H180" s="1">
        <v>400</v>
      </c>
      <c r="I180" s="1">
        <v>560</v>
      </c>
      <c r="J180" s="1">
        <v>1400</v>
      </c>
    </row>
    <row r="181" spans="1:10" x14ac:dyDescent="0.3">
      <c r="A181" t="s">
        <v>199</v>
      </c>
      <c r="B181" t="s">
        <v>3</v>
      </c>
      <c r="C181" t="s">
        <v>224</v>
      </c>
      <c r="D181" t="s">
        <v>234</v>
      </c>
      <c r="E181">
        <v>66</v>
      </c>
      <c r="F181">
        <v>35</v>
      </c>
      <c r="G181" s="1">
        <v>1210</v>
      </c>
      <c r="H181" s="1">
        <v>1210</v>
      </c>
      <c r="I181" s="1">
        <v>1694</v>
      </c>
      <c r="J181" s="1">
        <v>1400</v>
      </c>
    </row>
    <row r="182" spans="1:10" x14ac:dyDescent="0.3">
      <c r="A182" t="s">
        <v>199</v>
      </c>
      <c r="B182" t="s">
        <v>3</v>
      </c>
      <c r="C182" t="s">
        <v>224</v>
      </c>
      <c r="D182" t="s">
        <v>233</v>
      </c>
      <c r="E182">
        <v>66</v>
      </c>
      <c r="F182">
        <v>42</v>
      </c>
      <c r="G182" s="1">
        <v>80</v>
      </c>
      <c r="H182" s="1">
        <v>80</v>
      </c>
      <c r="I182" s="1">
        <v>104</v>
      </c>
      <c r="J182" s="1">
        <v>1300</v>
      </c>
    </row>
    <row r="183" spans="1:10" x14ac:dyDescent="0.3">
      <c r="A183" t="s">
        <v>199</v>
      </c>
      <c r="B183" t="s">
        <v>3</v>
      </c>
      <c r="C183" t="s">
        <v>224</v>
      </c>
      <c r="D183" t="s">
        <v>232</v>
      </c>
      <c r="E183">
        <v>66</v>
      </c>
      <c r="F183">
        <v>49</v>
      </c>
      <c r="G183" s="1">
        <v>10280</v>
      </c>
      <c r="H183" s="1">
        <v>8720</v>
      </c>
      <c r="I183" s="1">
        <v>11336</v>
      </c>
      <c r="J183" s="1">
        <v>1300</v>
      </c>
    </row>
    <row r="184" spans="1:10" x14ac:dyDescent="0.3">
      <c r="A184" t="s">
        <v>199</v>
      </c>
      <c r="B184" t="s">
        <v>3</v>
      </c>
      <c r="C184" t="s">
        <v>224</v>
      </c>
      <c r="D184" t="s">
        <v>231</v>
      </c>
      <c r="E184">
        <v>66</v>
      </c>
      <c r="F184">
        <v>56</v>
      </c>
      <c r="G184" s="1">
        <v>12337</v>
      </c>
      <c r="H184" s="1">
        <v>12337</v>
      </c>
      <c r="I184" s="1">
        <v>13571</v>
      </c>
      <c r="J184" s="1">
        <v>1100</v>
      </c>
    </row>
    <row r="185" spans="1:10" x14ac:dyDescent="0.3">
      <c r="A185" t="s">
        <v>199</v>
      </c>
      <c r="B185" t="s">
        <v>3</v>
      </c>
      <c r="C185" t="s">
        <v>224</v>
      </c>
      <c r="D185" t="s">
        <v>229</v>
      </c>
      <c r="E185">
        <v>66</v>
      </c>
      <c r="F185">
        <v>84</v>
      </c>
      <c r="G185" s="1">
        <v>3646</v>
      </c>
      <c r="H185" s="1">
        <v>3646</v>
      </c>
      <c r="I185" s="1">
        <v>4740</v>
      </c>
      <c r="J185" s="1">
        <v>1300</v>
      </c>
    </row>
    <row r="186" spans="1:10" x14ac:dyDescent="0.3">
      <c r="A186" t="s">
        <v>199</v>
      </c>
      <c r="B186" t="s">
        <v>3</v>
      </c>
      <c r="C186" t="s">
        <v>224</v>
      </c>
      <c r="D186" t="s">
        <v>228</v>
      </c>
      <c r="E186">
        <v>66</v>
      </c>
      <c r="F186">
        <v>98</v>
      </c>
      <c r="G186" s="1">
        <v>130</v>
      </c>
      <c r="H186" s="1">
        <v>130</v>
      </c>
      <c r="I186" s="1">
        <v>169</v>
      </c>
      <c r="J186" s="1">
        <v>1300</v>
      </c>
    </row>
    <row r="187" spans="1:10" x14ac:dyDescent="0.3">
      <c r="A187" t="s">
        <v>199</v>
      </c>
      <c r="B187" t="s">
        <v>3</v>
      </c>
      <c r="C187" t="s">
        <v>224</v>
      </c>
      <c r="D187" t="s">
        <v>227</v>
      </c>
      <c r="E187">
        <v>66</v>
      </c>
      <c r="F187">
        <v>112</v>
      </c>
      <c r="G187" s="1">
        <v>18580</v>
      </c>
      <c r="H187" s="1">
        <v>18580</v>
      </c>
      <c r="I187" s="1">
        <v>26012</v>
      </c>
      <c r="J187" s="1">
        <v>1400</v>
      </c>
    </row>
    <row r="188" spans="1:10" x14ac:dyDescent="0.3">
      <c r="A188" t="s">
        <v>199</v>
      </c>
      <c r="B188" t="s">
        <v>3</v>
      </c>
      <c r="C188" t="s">
        <v>224</v>
      </c>
      <c r="D188" t="s">
        <v>226</v>
      </c>
      <c r="E188">
        <v>66</v>
      </c>
      <c r="F188">
        <v>126</v>
      </c>
      <c r="G188" s="1">
        <v>22896</v>
      </c>
      <c r="H188" s="1">
        <v>22896</v>
      </c>
      <c r="I188" s="1">
        <v>25186</v>
      </c>
      <c r="J188" s="1">
        <v>1100</v>
      </c>
    </row>
    <row r="189" spans="1:10" x14ac:dyDescent="0.3">
      <c r="A189" t="s">
        <v>199</v>
      </c>
      <c r="B189" t="s">
        <v>3</v>
      </c>
      <c r="C189" t="s">
        <v>224</v>
      </c>
      <c r="D189" t="s">
        <v>58</v>
      </c>
      <c r="E189">
        <v>66</v>
      </c>
      <c r="F189">
        <v>133</v>
      </c>
      <c r="G189" s="1">
        <v>1825</v>
      </c>
      <c r="H189" s="1">
        <v>1225</v>
      </c>
      <c r="I189" s="1">
        <v>1470</v>
      </c>
      <c r="J189" s="1">
        <v>1200</v>
      </c>
    </row>
    <row r="190" spans="1:10" x14ac:dyDescent="0.3">
      <c r="A190" t="s">
        <v>199</v>
      </c>
      <c r="B190" t="s">
        <v>3</v>
      </c>
      <c r="C190" t="s">
        <v>224</v>
      </c>
      <c r="D190" t="s">
        <v>225</v>
      </c>
      <c r="E190">
        <v>66</v>
      </c>
      <c r="F190">
        <v>140</v>
      </c>
      <c r="G190" s="1">
        <v>20432</v>
      </c>
      <c r="H190" s="1">
        <v>20432</v>
      </c>
      <c r="I190" s="1">
        <v>28605</v>
      </c>
      <c r="J190" s="1">
        <v>1400</v>
      </c>
    </row>
    <row r="191" spans="1:10" x14ac:dyDescent="0.3">
      <c r="A191" t="s">
        <v>199</v>
      </c>
      <c r="B191" t="s">
        <v>3</v>
      </c>
      <c r="C191" t="s">
        <v>224</v>
      </c>
      <c r="D191" t="s">
        <v>223</v>
      </c>
      <c r="E191">
        <v>66</v>
      </c>
      <c r="F191">
        <v>147</v>
      </c>
      <c r="G191" s="1">
        <v>270</v>
      </c>
      <c r="H191" s="1">
        <v>270</v>
      </c>
      <c r="I191" s="1">
        <v>378</v>
      </c>
      <c r="J191" s="1">
        <v>1400</v>
      </c>
    </row>
    <row r="192" spans="1:10" x14ac:dyDescent="0.3">
      <c r="A192" t="s">
        <v>198</v>
      </c>
      <c r="B192" t="s">
        <v>3</v>
      </c>
      <c r="C192" t="s">
        <v>224</v>
      </c>
      <c r="D192" t="s">
        <v>235</v>
      </c>
      <c r="E192">
        <v>66</v>
      </c>
      <c r="F192">
        <v>7</v>
      </c>
      <c r="G192" s="1">
        <v>38441</v>
      </c>
      <c r="H192" s="1">
        <v>38441</v>
      </c>
      <c r="I192" s="1">
        <v>49973</v>
      </c>
      <c r="J192" s="1">
        <v>1300</v>
      </c>
    </row>
    <row r="193" spans="1:10" x14ac:dyDescent="0.3">
      <c r="A193" t="s">
        <v>198</v>
      </c>
      <c r="B193" t="s">
        <v>3</v>
      </c>
      <c r="C193" t="s">
        <v>224</v>
      </c>
      <c r="D193" t="s">
        <v>236</v>
      </c>
      <c r="E193">
        <v>66</v>
      </c>
      <c r="F193">
        <v>14</v>
      </c>
      <c r="G193" s="1">
        <v>1160</v>
      </c>
      <c r="H193" s="1">
        <v>600</v>
      </c>
      <c r="I193" s="1">
        <v>720</v>
      </c>
      <c r="J193" s="1">
        <v>1200</v>
      </c>
    </row>
    <row r="194" spans="1:10" x14ac:dyDescent="0.3">
      <c r="A194" t="s">
        <v>198</v>
      </c>
      <c r="B194" t="s">
        <v>3</v>
      </c>
      <c r="C194" t="s">
        <v>224</v>
      </c>
      <c r="D194" t="s">
        <v>41</v>
      </c>
      <c r="E194">
        <v>66</v>
      </c>
      <c r="F194">
        <v>28</v>
      </c>
      <c r="G194" s="1">
        <v>1200</v>
      </c>
      <c r="H194" s="1">
        <v>420</v>
      </c>
      <c r="I194" s="1">
        <v>546</v>
      </c>
      <c r="J194" s="1">
        <v>1300</v>
      </c>
    </row>
    <row r="195" spans="1:10" x14ac:dyDescent="0.3">
      <c r="A195" t="s">
        <v>198</v>
      </c>
      <c r="B195" t="s">
        <v>3</v>
      </c>
      <c r="C195" t="s">
        <v>224</v>
      </c>
      <c r="D195" t="s">
        <v>234</v>
      </c>
      <c r="E195">
        <v>66</v>
      </c>
      <c r="F195">
        <v>35</v>
      </c>
      <c r="G195" s="1">
        <v>800</v>
      </c>
      <c r="H195" s="1">
        <v>600</v>
      </c>
      <c r="I195" s="1">
        <v>840</v>
      </c>
      <c r="J195" s="1">
        <v>1400</v>
      </c>
    </row>
    <row r="196" spans="1:10" x14ac:dyDescent="0.3">
      <c r="A196" t="s">
        <v>198</v>
      </c>
      <c r="B196" t="s">
        <v>3</v>
      </c>
      <c r="C196" t="s">
        <v>224</v>
      </c>
      <c r="D196" t="s">
        <v>233</v>
      </c>
      <c r="E196">
        <v>66</v>
      </c>
      <c r="F196">
        <v>42</v>
      </c>
      <c r="G196" s="1">
        <v>85</v>
      </c>
      <c r="H196" s="1">
        <v>85</v>
      </c>
      <c r="I196" s="1">
        <v>111</v>
      </c>
      <c r="J196" s="1">
        <v>1300</v>
      </c>
    </row>
    <row r="197" spans="1:10" x14ac:dyDescent="0.3">
      <c r="A197" t="s">
        <v>198</v>
      </c>
      <c r="B197" t="s">
        <v>3</v>
      </c>
      <c r="C197" t="s">
        <v>224</v>
      </c>
      <c r="D197" t="s">
        <v>232</v>
      </c>
      <c r="E197">
        <v>66</v>
      </c>
      <c r="F197">
        <v>49</v>
      </c>
      <c r="G197" s="1">
        <v>8870</v>
      </c>
      <c r="H197" s="1">
        <v>8870</v>
      </c>
      <c r="I197" s="1">
        <v>9757</v>
      </c>
      <c r="J197" s="1">
        <v>1100</v>
      </c>
    </row>
    <row r="198" spans="1:10" x14ac:dyDescent="0.3">
      <c r="A198" t="s">
        <v>198</v>
      </c>
      <c r="B198" t="s">
        <v>3</v>
      </c>
      <c r="C198" t="s">
        <v>224</v>
      </c>
      <c r="D198" t="s">
        <v>231</v>
      </c>
      <c r="E198">
        <v>66</v>
      </c>
      <c r="F198">
        <v>56</v>
      </c>
      <c r="G198" s="1">
        <v>65252</v>
      </c>
      <c r="H198" s="1">
        <v>53252</v>
      </c>
      <c r="I198" s="1">
        <v>58577</v>
      </c>
      <c r="J198" s="1">
        <v>1100</v>
      </c>
    </row>
    <row r="199" spans="1:10" x14ac:dyDescent="0.3">
      <c r="A199" t="s">
        <v>198</v>
      </c>
      <c r="B199" t="s">
        <v>3</v>
      </c>
      <c r="C199" t="s">
        <v>224</v>
      </c>
      <c r="D199" t="s">
        <v>229</v>
      </c>
      <c r="E199">
        <v>66</v>
      </c>
      <c r="F199">
        <v>84</v>
      </c>
      <c r="G199" s="1">
        <v>300</v>
      </c>
      <c r="H199" s="1">
        <v>0</v>
      </c>
      <c r="I199" s="1">
        <v>0</v>
      </c>
      <c r="J199" s="1">
        <v>0</v>
      </c>
    </row>
    <row r="200" spans="1:10" x14ac:dyDescent="0.3">
      <c r="A200" t="s">
        <v>198</v>
      </c>
      <c r="B200" t="s">
        <v>3</v>
      </c>
      <c r="C200" t="s">
        <v>224</v>
      </c>
      <c r="D200" t="s">
        <v>227</v>
      </c>
      <c r="E200">
        <v>66</v>
      </c>
      <c r="F200">
        <v>112</v>
      </c>
      <c r="G200" s="1">
        <v>9103</v>
      </c>
      <c r="H200" s="1">
        <v>9103</v>
      </c>
      <c r="I200" s="1">
        <v>12744</v>
      </c>
      <c r="J200" s="1">
        <v>1400</v>
      </c>
    </row>
    <row r="201" spans="1:10" x14ac:dyDescent="0.3">
      <c r="A201" t="s">
        <v>198</v>
      </c>
      <c r="B201" t="s">
        <v>3</v>
      </c>
      <c r="C201" t="s">
        <v>224</v>
      </c>
      <c r="D201" t="s">
        <v>226</v>
      </c>
      <c r="E201">
        <v>66</v>
      </c>
      <c r="F201">
        <v>126</v>
      </c>
      <c r="G201" s="1">
        <v>26667</v>
      </c>
      <c r="H201" s="1">
        <v>24667</v>
      </c>
      <c r="I201" s="1">
        <v>27134</v>
      </c>
      <c r="J201" s="1">
        <v>1100</v>
      </c>
    </row>
    <row r="202" spans="1:10" x14ac:dyDescent="0.3">
      <c r="A202" t="s">
        <v>198</v>
      </c>
      <c r="B202" t="s">
        <v>3</v>
      </c>
      <c r="C202" t="s">
        <v>224</v>
      </c>
      <c r="D202" t="s">
        <v>58</v>
      </c>
      <c r="E202">
        <v>66</v>
      </c>
      <c r="F202">
        <v>133</v>
      </c>
      <c r="G202" s="1">
        <v>2100</v>
      </c>
      <c r="H202" s="1">
        <v>1600</v>
      </c>
      <c r="I202" s="1">
        <v>1760</v>
      </c>
      <c r="J202" s="1">
        <v>1100</v>
      </c>
    </row>
    <row r="203" spans="1:10" x14ac:dyDescent="0.3">
      <c r="A203" t="s">
        <v>198</v>
      </c>
      <c r="B203" t="s">
        <v>3</v>
      </c>
      <c r="C203" t="s">
        <v>224</v>
      </c>
      <c r="D203" t="s">
        <v>225</v>
      </c>
      <c r="E203">
        <v>66</v>
      </c>
      <c r="F203">
        <v>140</v>
      </c>
      <c r="G203" s="1">
        <v>13534</v>
      </c>
      <c r="H203" s="1">
        <v>11534</v>
      </c>
      <c r="I203" s="1">
        <v>14994</v>
      </c>
      <c r="J203" s="1">
        <v>1300</v>
      </c>
    </row>
    <row r="204" spans="1:10" x14ac:dyDescent="0.3">
      <c r="A204" t="s">
        <v>198</v>
      </c>
      <c r="B204" t="s">
        <v>3</v>
      </c>
      <c r="C204" t="s">
        <v>224</v>
      </c>
      <c r="D204" t="s">
        <v>223</v>
      </c>
      <c r="E204">
        <v>66</v>
      </c>
      <c r="F204">
        <v>147</v>
      </c>
      <c r="G204" s="1">
        <v>160</v>
      </c>
      <c r="H204" s="1">
        <v>110</v>
      </c>
      <c r="I204" s="1">
        <v>143</v>
      </c>
      <c r="J204" s="1">
        <v>1300</v>
      </c>
    </row>
    <row r="205" spans="1:10" x14ac:dyDescent="0.3">
      <c r="A205" t="s">
        <v>200</v>
      </c>
      <c r="B205" t="s">
        <v>3</v>
      </c>
      <c r="C205" t="s">
        <v>224</v>
      </c>
      <c r="D205" t="s">
        <v>235</v>
      </c>
      <c r="E205">
        <v>66</v>
      </c>
      <c r="F205">
        <v>7</v>
      </c>
      <c r="G205" s="1">
        <v>83114</v>
      </c>
      <c r="H205" s="1">
        <v>83114</v>
      </c>
      <c r="I205" s="1">
        <v>111566</v>
      </c>
      <c r="J205" s="1">
        <v>1342</v>
      </c>
    </row>
    <row r="206" spans="1:10" x14ac:dyDescent="0.3">
      <c r="A206" t="s">
        <v>200</v>
      </c>
      <c r="B206" t="s">
        <v>3</v>
      </c>
      <c r="C206" t="s">
        <v>224</v>
      </c>
      <c r="D206" t="s">
        <v>236</v>
      </c>
      <c r="E206">
        <v>66</v>
      </c>
      <c r="F206">
        <v>14</v>
      </c>
      <c r="G206" s="1">
        <v>1160</v>
      </c>
      <c r="H206" s="1">
        <v>600</v>
      </c>
      <c r="I206" s="1">
        <v>720</v>
      </c>
      <c r="J206" s="1">
        <v>1200</v>
      </c>
    </row>
    <row r="207" spans="1:10" x14ac:dyDescent="0.3">
      <c r="A207" t="s">
        <v>200</v>
      </c>
      <c r="B207" t="s">
        <v>3</v>
      </c>
      <c r="C207" t="s">
        <v>224</v>
      </c>
      <c r="D207" t="s">
        <v>41</v>
      </c>
      <c r="E207">
        <v>66</v>
      </c>
      <c r="F207">
        <v>28</v>
      </c>
      <c r="G207" s="1">
        <v>4100</v>
      </c>
      <c r="H207" s="1">
        <v>820</v>
      </c>
      <c r="I207" s="1">
        <v>1106</v>
      </c>
      <c r="J207" s="1">
        <v>1349</v>
      </c>
    </row>
    <row r="208" spans="1:10" x14ac:dyDescent="0.3">
      <c r="A208" t="s">
        <v>200</v>
      </c>
      <c r="B208" t="s">
        <v>3</v>
      </c>
      <c r="C208" t="s">
        <v>224</v>
      </c>
      <c r="D208" t="s">
        <v>234</v>
      </c>
      <c r="E208">
        <v>66</v>
      </c>
      <c r="F208">
        <v>35</v>
      </c>
      <c r="G208" s="1">
        <v>2010</v>
      </c>
      <c r="H208" s="1">
        <v>1810</v>
      </c>
      <c r="I208" s="1">
        <v>2534</v>
      </c>
      <c r="J208" s="1">
        <v>1400</v>
      </c>
    </row>
    <row r="209" spans="1:10" x14ac:dyDescent="0.3">
      <c r="A209" t="s">
        <v>200</v>
      </c>
      <c r="B209" t="s">
        <v>3</v>
      </c>
      <c r="C209" t="s">
        <v>224</v>
      </c>
      <c r="D209" t="s">
        <v>233</v>
      </c>
      <c r="E209">
        <v>66</v>
      </c>
      <c r="F209">
        <v>42</v>
      </c>
      <c r="G209" s="1">
        <v>165</v>
      </c>
      <c r="H209" s="1">
        <v>165</v>
      </c>
      <c r="I209" s="1">
        <v>215</v>
      </c>
      <c r="J209" s="1">
        <v>1303</v>
      </c>
    </row>
    <row r="210" spans="1:10" x14ac:dyDescent="0.3">
      <c r="A210" t="s">
        <v>200</v>
      </c>
      <c r="B210" t="s">
        <v>3</v>
      </c>
      <c r="C210" t="s">
        <v>224</v>
      </c>
      <c r="D210" t="s">
        <v>232</v>
      </c>
      <c r="E210">
        <v>66</v>
      </c>
      <c r="F210">
        <v>49</v>
      </c>
      <c r="G210" s="1">
        <v>19150</v>
      </c>
      <c r="H210" s="1">
        <v>17590</v>
      </c>
      <c r="I210" s="1">
        <v>21093</v>
      </c>
      <c r="J210" s="1">
        <v>1199</v>
      </c>
    </row>
    <row r="211" spans="1:10" x14ac:dyDescent="0.3">
      <c r="A211" t="s">
        <v>200</v>
      </c>
      <c r="B211" t="s">
        <v>3</v>
      </c>
      <c r="C211" t="s">
        <v>224</v>
      </c>
      <c r="D211" t="s">
        <v>231</v>
      </c>
      <c r="E211">
        <v>66</v>
      </c>
      <c r="F211">
        <v>56</v>
      </c>
      <c r="G211" s="1">
        <v>194681</v>
      </c>
      <c r="H211" s="1">
        <v>181681</v>
      </c>
      <c r="I211" s="1">
        <v>199849</v>
      </c>
      <c r="J211" s="1">
        <v>1100</v>
      </c>
    </row>
    <row r="212" spans="1:10" x14ac:dyDescent="0.3">
      <c r="A212" t="s">
        <v>200</v>
      </c>
      <c r="B212" t="s">
        <v>3</v>
      </c>
      <c r="C212" t="s">
        <v>224</v>
      </c>
      <c r="D212" t="s">
        <v>229</v>
      </c>
      <c r="E212">
        <v>66</v>
      </c>
      <c r="F212">
        <v>84</v>
      </c>
      <c r="G212" s="1">
        <v>3946</v>
      </c>
      <c r="H212" s="1">
        <v>3646</v>
      </c>
      <c r="I212" s="1">
        <v>4740</v>
      </c>
      <c r="J212" s="1">
        <v>1300</v>
      </c>
    </row>
    <row r="213" spans="1:10" x14ac:dyDescent="0.3">
      <c r="A213" t="s">
        <v>200</v>
      </c>
      <c r="B213" t="s">
        <v>3</v>
      </c>
      <c r="C213" t="s">
        <v>224</v>
      </c>
      <c r="D213" t="s">
        <v>228</v>
      </c>
      <c r="E213">
        <v>66</v>
      </c>
      <c r="F213">
        <v>98</v>
      </c>
      <c r="G213" s="1">
        <v>130</v>
      </c>
      <c r="H213" s="1">
        <v>130</v>
      </c>
      <c r="I213" s="1">
        <v>169</v>
      </c>
      <c r="J213" s="1">
        <v>1300</v>
      </c>
    </row>
    <row r="214" spans="1:10" x14ac:dyDescent="0.3">
      <c r="A214" t="s">
        <v>200</v>
      </c>
      <c r="B214" t="s">
        <v>3</v>
      </c>
      <c r="C214" t="s">
        <v>224</v>
      </c>
      <c r="D214" t="s">
        <v>227</v>
      </c>
      <c r="E214">
        <v>66</v>
      </c>
      <c r="F214">
        <v>112</v>
      </c>
      <c r="G214" s="1">
        <v>27683</v>
      </c>
      <c r="H214" s="1">
        <v>27683</v>
      </c>
      <c r="I214" s="1">
        <v>38756</v>
      </c>
      <c r="J214" s="1">
        <v>1400</v>
      </c>
    </row>
    <row r="215" spans="1:10" x14ac:dyDescent="0.3">
      <c r="A215" t="s">
        <v>200</v>
      </c>
      <c r="B215" t="s">
        <v>3</v>
      </c>
      <c r="C215" t="s">
        <v>224</v>
      </c>
      <c r="D215" t="s">
        <v>226</v>
      </c>
      <c r="E215">
        <v>66</v>
      </c>
      <c r="F215">
        <v>126</v>
      </c>
      <c r="G215" s="1">
        <v>109540</v>
      </c>
      <c r="H215" s="1">
        <v>106540</v>
      </c>
      <c r="I215" s="1">
        <v>117194</v>
      </c>
      <c r="J215" s="1">
        <v>1100</v>
      </c>
    </row>
    <row r="216" spans="1:10" x14ac:dyDescent="0.3">
      <c r="A216" t="s">
        <v>200</v>
      </c>
      <c r="B216" t="s">
        <v>3</v>
      </c>
      <c r="C216" t="s">
        <v>224</v>
      </c>
      <c r="D216" t="s">
        <v>58</v>
      </c>
      <c r="E216">
        <v>66</v>
      </c>
      <c r="F216">
        <v>133</v>
      </c>
      <c r="G216" s="1">
        <v>3925</v>
      </c>
      <c r="H216" s="1">
        <v>2825</v>
      </c>
      <c r="I216" s="1">
        <v>3230</v>
      </c>
      <c r="J216" s="1">
        <v>1143</v>
      </c>
    </row>
    <row r="217" spans="1:10" x14ac:dyDescent="0.3">
      <c r="A217" t="s">
        <v>200</v>
      </c>
      <c r="B217" t="s">
        <v>3</v>
      </c>
      <c r="C217" t="s">
        <v>224</v>
      </c>
      <c r="D217" t="s">
        <v>225</v>
      </c>
      <c r="E217">
        <v>66</v>
      </c>
      <c r="F217">
        <v>140</v>
      </c>
      <c r="G217" s="1">
        <v>33966</v>
      </c>
      <c r="H217" s="1">
        <v>31966</v>
      </c>
      <c r="I217" s="1">
        <v>43599</v>
      </c>
      <c r="J217" s="1">
        <v>1364</v>
      </c>
    </row>
    <row r="218" spans="1:10" x14ac:dyDescent="0.3">
      <c r="A218" t="s">
        <v>200</v>
      </c>
      <c r="B218" t="s">
        <v>3</v>
      </c>
      <c r="C218" t="s">
        <v>224</v>
      </c>
      <c r="D218" t="s">
        <v>223</v>
      </c>
      <c r="E218">
        <v>66</v>
      </c>
      <c r="F218">
        <v>147</v>
      </c>
      <c r="G218" s="1">
        <v>430</v>
      </c>
      <c r="H218" s="1">
        <v>380</v>
      </c>
      <c r="I218" s="1">
        <v>521</v>
      </c>
      <c r="J218" s="1">
        <v>1371</v>
      </c>
    </row>
    <row r="219" spans="1:10" x14ac:dyDescent="0.3">
      <c r="A219" t="s">
        <v>197</v>
      </c>
      <c r="B219" t="s">
        <v>3</v>
      </c>
      <c r="C219" t="s">
        <v>224</v>
      </c>
      <c r="D219" t="s">
        <v>235</v>
      </c>
      <c r="E219">
        <v>66</v>
      </c>
      <c r="F219">
        <v>7</v>
      </c>
      <c r="G219" s="1">
        <v>160817</v>
      </c>
      <c r="H219" s="1">
        <v>160817</v>
      </c>
      <c r="I219" s="1">
        <v>385961</v>
      </c>
      <c r="J219" s="1">
        <v>2400</v>
      </c>
    </row>
    <row r="220" spans="1:10" x14ac:dyDescent="0.3">
      <c r="A220" t="s">
        <v>197</v>
      </c>
      <c r="B220" t="s">
        <v>3</v>
      </c>
      <c r="C220" t="s">
        <v>224</v>
      </c>
      <c r="D220" t="s">
        <v>41</v>
      </c>
      <c r="E220">
        <v>66</v>
      </c>
      <c r="F220">
        <v>28</v>
      </c>
      <c r="G220" s="1">
        <v>950</v>
      </c>
      <c r="H220" s="1">
        <v>950</v>
      </c>
      <c r="I220" s="1">
        <v>2375</v>
      </c>
      <c r="J220" s="1">
        <v>2500</v>
      </c>
    </row>
    <row r="221" spans="1:10" x14ac:dyDescent="0.3">
      <c r="A221" t="s">
        <v>197</v>
      </c>
      <c r="B221" t="s">
        <v>3</v>
      </c>
      <c r="C221" t="s">
        <v>224</v>
      </c>
      <c r="D221" t="s">
        <v>234</v>
      </c>
      <c r="E221">
        <v>66</v>
      </c>
      <c r="F221">
        <v>35</v>
      </c>
      <c r="G221" s="1">
        <v>300</v>
      </c>
      <c r="H221" s="1">
        <v>300</v>
      </c>
      <c r="I221" s="1">
        <v>750</v>
      </c>
      <c r="J221" s="1">
        <v>2500</v>
      </c>
    </row>
    <row r="222" spans="1:10" x14ac:dyDescent="0.3">
      <c r="A222" t="s">
        <v>197</v>
      </c>
      <c r="B222" t="s">
        <v>3</v>
      </c>
      <c r="C222" t="s">
        <v>224</v>
      </c>
      <c r="D222" t="s">
        <v>233</v>
      </c>
      <c r="E222">
        <v>66</v>
      </c>
      <c r="F222">
        <v>42</v>
      </c>
      <c r="G222" s="1">
        <v>210</v>
      </c>
      <c r="H222" s="1">
        <v>210</v>
      </c>
      <c r="I222" s="1">
        <v>525</v>
      </c>
      <c r="J222" s="1">
        <v>2500</v>
      </c>
    </row>
    <row r="223" spans="1:10" x14ac:dyDescent="0.3">
      <c r="A223" t="s">
        <v>197</v>
      </c>
      <c r="B223" t="s">
        <v>3</v>
      </c>
      <c r="C223" t="s">
        <v>224</v>
      </c>
      <c r="D223" t="s">
        <v>232</v>
      </c>
      <c r="E223">
        <v>66</v>
      </c>
      <c r="F223">
        <v>49</v>
      </c>
      <c r="G223" s="1">
        <v>2000</v>
      </c>
      <c r="H223" s="1">
        <v>2000</v>
      </c>
      <c r="I223" s="1">
        <v>4800</v>
      </c>
      <c r="J223" s="1">
        <v>2400</v>
      </c>
    </row>
    <row r="224" spans="1:10" x14ac:dyDescent="0.3">
      <c r="A224" t="s">
        <v>197</v>
      </c>
      <c r="B224" t="s">
        <v>3</v>
      </c>
      <c r="C224" t="s">
        <v>224</v>
      </c>
      <c r="D224" t="s">
        <v>231</v>
      </c>
      <c r="E224">
        <v>66</v>
      </c>
      <c r="F224">
        <v>56</v>
      </c>
      <c r="G224" s="1">
        <v>34827</v>
      </c>
      <c r="H224" s="1">
        <v>34727</v>
      </c>
      <c r="I224" s="1">
        <v>79872</v>
      </c>
      <c r="J224" s="1">
        <v>2300</v>
      </c>
    </row>
    <row r="225" spans="1:10" x14ac:dyDescent="0.3">
      <c r="A225" t="s">
        <v>197</v>
      </c>
      <c r="B225" t="s">
        <v>3</v>
      </c>
      <c r="C225" t="s">
        <v>224</v>
      </c>
      <c r="D225" t="s">
        <v>230</v>
      </c>
      <c r="E225">
        <v>66</v>
      </c>
      <c r="F225">
        <v>77</v>
      </c>
      <c r="G225" s="1">
        <v>60</v>
      </c>
      <c r="H225" s="1">
        <v>60</v>
      </c>
      <c r="I225" s="1">
        <v>144</v>
      </c>
      <c r="J225" s="1">
        <v>2400</v>
      </c>
    </row>
    <row r="226" spans="1:10" x14ac:dyDescent="0.3">
      <c r="A226" t="s">
        <v>197</v>
      </c>
      <c r="B226" t="s">
        <v>3</v>
      </c>
      <c r="C226" t="s">
        <v>224</v>
      </c>
      <c r="D226" t="s">
        <v>229</v>
      </c>
      <c r="E226">
        <v>66</v>
      </c>
      <c r="F226">
        <v>84</v>
      </c>
      <c r="G226" s="1">
        <v>1100</v>
      </c>
      <c r="H226" s="1">
        <v>1100</v>
      </c>
      <c r="I226" s="1">
        <v>2750</v>
      </c>
      <c r="J226" s="1">
        <v>2500</v>
      </c>
    </row>
    <row r="227" spans="1:10" x14ac:dyDescent="0.3">
      <c r="A227" t="s">
        <v>197</v>
      </c>
      <c r="B227" t="s">
        <v>3</v>
      </c>
      <c r="C227" t="s">
        <v>224</v>
      </c>
      <c r="D227" t="s">
        <v>228</v>
      </c>
      <c r="E227">
        <v>66</v>
      </c>
      <c r="F227">
        <v>98</v>
      </c>
      <c r="G227" s="1">
        <v>50</v>
      </c>
      <c r="H227" s="1">
        <v>50</v>
      </c>
      <c r="I227" s="1">
        <v>115</v>
      </c>
      <c r="J227" s="1">
        <v>2300</v>
      </c>
    </row>
    <row r="228" spans="1:10" x14ac:dyDescent="0.3">
      <c r="A228" t="s">
        <v>197</v>
      </c>
      <c r="B228" t="s">
        <v>3</v>
      </c>
      <c r="C228" t="s">
        <v>224</v>
      </c>
      <c r="D228" t="s">
        <v>227</v>
      </c>
      <c r="E228">
        <v>66</v>
      </c>
      <c r="F228">
        <v>112</v>
      </c>
      <c r="G228" s="1">
        <v>27082</v>
      </c>
      <c r="H228" s="1">
        <v>27082</v>
      </c>
      <c r="I228" s="1">
        <v>67705</v>
      </c>
      <c r="J228" s="1">
        <v>2500</v>
      </c>
    </row>
    <row r="229" spans="1:10" x14ac:dyDescent="0.3">
      <c r="A229" t="s">
        <v>197</v>
      </c>
      <c r="B229" t="s">
        <v>3</v>
      </c>
      <c r="C229" t="s">
        <v>224</v>
      </c>
      <c r="D229" t="s">
        <v>226</v>
      </c>
      <c r="E229">
        <v>66</v>
      </c>
      <c r="F229">
        <v>126</v>
      </c>
      <c r="G229" s="1">
        <v>8188</v>
      </c>
      <c r="H229" s="1">
        <v>8038</v>
      </c>
      <c r="I229" s="1">
        <v>19291</v>
      </c>
      <c r="J229" s="1">
        <v>2400</v>
      </c>
    </row>
    <row r="230" spans="1:10" x14ac:dyDescent="0.3">
      <c r="A230" t="s">
        <v>197</v>
      </c>
      <c r="B230" t="s">
        <v>3</v>
      </c>
      <c r="C230" t="s">
        <v>224</v>
      </c>
      <c r="D230" t="s">
        <v>58</v>
      </c>
      <c r="E230">
        <v>66</v>
      </c>
      <c r="F230">
        <v>133</v>
      </c>
      <c r="G230" s="1">
        <v>12300</v>
      </c>
      <c r="H230" s="1">
        <v>12300</v>
      </c>
      <c r="I230" s="1">
        <v>28290</v>
      </c>
      <c r="J230" s="1">
        <v>2300</v>
      </c>
    </row>
    <row r="231" spans="1:10" x14ac:dyDescent="0.3">
      <c r="A231" t="s">
        <v>197</v>
      </c>
      <c r="B231" t="s">
        <v>3</v>
      </c>
      <c r="C231" t="s">
        <v>224</v>
      </c>
      <c r="D231" t="s">
        <v>225</v>
      </c>
      <c r="E231">
        <v>66</v>
      </c>
      <c r="F231">
        <v>140</v>
      </c>
      <c r="G231" s="1">
        <v>34186</v>
      </c>
      <c r="H231" s="1">
        <v>34186</v>
      </c>
      <c r="I231" s="1">
        <v>85465</v>
      </c>
      <c r="J231" s="1">
        <v>2500</v>
      </c>
    </row>
    <row r="232" spans="1:10" x14ac:dyDescent="0.3">
      <c r="A232" t="s">
        <v>197</v>
      </c>
      <c r="B232" t="s">
        <v>3</v>
      </c>
      <c r="C232" t="s">
        <v>224</v>
      </c>
      <c r="D232" t="s">
        <v>223</v>
      </c>
      <c r="E232">
        <v>66</v>
      </c>
      <c r="F232">
        <v>147</v>
      </c>
      <c r="G232" s="1">
        <v>50</v>
      </c>
      <c r="H232" s="1">
        <v>50</v>
      </c>
      <c r="I232" s="1">
        <v>120</v>
      </c>
      <c r="J232" s="1">
        <v>2400</v>
      </c>
    </row>
    <row r="233" spans="1:10" x14ac:dyDescent="0.3">
      <c r="A233" t="s">
        <v>195</v>
      </c>
      <c r="B233" t="s">
        <v>3</v>
      </c>
      <c r="C233" t="s">
        <v>224</v>
      </c>
      <c r="D233" t="s">
        <v>235</v>
      </c>
      <c r="E233">
        <v>66</v>
      </c>
      <c r="F233">
        <v>7</v>
      </c>
      <c r="G233" s="1">
        <v>10765</v>
      </c>
      <c r="H233" s="1">
        <v>10765</v>
      </c>
      <c r="I233" s="1">
        <v>25405</v>
      </c>
      <c r="J233" s="1">
        <v>2360</v>
      </c>
    </row>
    <row r="234" spans="1:10" x14ac:dyDescent="0.3">
      <c r="A234" t="s">
        <v>195</v>
      </c>
      <c r="B234" t="s">
        <v>3</v>
      </c>
      <c r="C234" t="s">
        <v>224</v>
      </c>
      <c r="D234" t="s">
        <v>41</v>
      </c>
      <c r="E234">
        <v>66</v>
      </c>
      <c r="F234">
        <v>28</v>
      </c>
      <c r="G234" s="1">
        <v>100</v>
      </c>
      <c r="H234" s="1">
        <v>100</v>
      </c>
      <c r="I234" s="1">
        <v>250</v>
      </c>
      <c r="J234" s="1">
        <v>2500</v>
      </c>
    </row>
    <row r="235" spans="1:10" x14ac:dyDescent="0.3">
      <c r="A235" t="s">
        <v>195</v>
      </c>
      <c r="B235" t="s">
        <v>3</v>
      </c>
      <c r="C235" t="s">
        <v>224</v>
      </c>
      <c r="D235" t="s">
        <v>234</v>
      </c>
      <c r="E235">
        <v>66</v>
      </c>
      <c r="F235">
        <v>35</v>
      </c>
      <c r="G235" s="1">
        <v>100</v>
      </c>
      <c r="H235" s="1">
        <v>100</v>
      </c>
      <c r="I235" s="1">
        <v>260</v>
      </c>
      <c r="J235" s="1">
        <v>2600</v>
      </c>
    </row>
    <row r="236" spans="1:10" x14ac:dyDescent="0.3">
      <c r="A236" t="s">
        <v>195</v>
      </c>
      <c r="B236" t="s">
        <v>3</v>
      </c>
      <c r="C236" t="s">
        <v>224</v>
      </c>
      <c r="D236" t="s">
        <v>233</v>
      </c>
      <c r="E236">
        <v>66</v>
      </c>
      <c r="F236">
        <v>42</v>
      </c>
      <c r="G236" s="1">
        <v>100</v>
      </c>
      <c r="H236" s="1">
        <v>100</v>
      </c>
      <c r="I236" s="1">
        <v>250</v>
      </c>
      <c r="J236" s="1">
        <v>2500</v>
      </c>
    </row>
    <row r="237" spans="1:10" x14ac:dyDescent="0.3">
      <c r="A237" t="s">
        <v>195</v>
      </c>
      <c r="B237" t="s">
        <v>3</v>
      </c>
      <c r="C237" t="s">
        <v>224</v>
      </c>
      <c r="D237" t="s">
        <v>232</v>
      </c>
      <c r="E237">
        <v>66</v>
      </c>
      <c r="F237">
        <v>49</v>
      </c>
      <c r="G237" s="1">
        <v>125</v>
      </c>
      <c r="H237" s="1">
        <v>125</v>
      </c>
      <c r="I237" s="1">
        <v>300</v>
      </c>
      <c r="J237" s="1">
        <v>2400</v>
      </c>
    </row>
    <row r="238" spans="1:10" x14ac:dyDescent="0.3">
      <c r="A238" t="s">
        <v>195</v>
      </c>
      <c r="B238" t="s">
        <v>3</v>
      </c>
      <c r="C238" t="s">
        <v>224</v>
      </c>
      <c r="D238" t="s">
        <v>231</v>
      </c>
      <c r="E238">
        <v>66</v>
      </c>
      <c r="F238">
        <v>56</v>
      </c>
      <c r="G238" s="1">
        <v>2000</v>
      </c>
      <c r="H238" s="1">
        <v>2000</v>
      </c>
      <c r="I238" s="1">
        <v>4560</v>
      </c>
      <c r="J238" s="1">
        <v>2280</v>
      </c>
    </row>
    <row r="239" spans="1:10" x14ac:dyDescent="0.3">
      <c r="A239" t="s">
        <v>195</v>
      </c>
      <c r="B239" t="s">
        <v>3</v>
      </c>
      <c r="C239" t="s">
        <v>224</v>
      </c>
      <c r="D239" t="s">
        <v>230</v>
      </c>
      <c r="E239">
        <v>66</v>
      </c>
      <c r="F239">
        <v>77</v>
      </c>
      <c r="G239" s="1">
        <v>45</v>
      </c>
      <c r="H239" s="1">
        <v>45</v>
      </c>
      <c r="I239" s="1">
        <v>108</v>
      </c>
      <c r="J239" s="1">
        <v>2400</v>
      </c>
    </row>
    <row r="240" spans="1:10" x14ac:dyDescent="0.3">
      <c r="A240" t="s">
        <v>195</v>
      </c>
      <c r="B240" t="s">
        <v>3</v>
      </c>
      <c r="C240" t="s">
        <v>224</v>
      </c>
      <c r="D240" t="s">
        <v>229</v>
      </c>
      <c r="E240">
        <v>66</v>
      </c>
      <c r="F240">
        <v>84</v>
      </c>
      <c r="G240" s="1">
        <v>115</v>
      </c>
      <c r="H240" s="1">
        <v>115</v>
      </c>
      <c r="I240" s="1">
        <v>288</v>
      </c>
      <c r="J240" s="1">
        <v>2500</v>
      </c>
    </row>
    <row r="241" spans="1:10" x14ac:dyDescent="0.3">
      <c r="A241" t="s">
        <v>195</v>
      </c>
      <c r="B241" t="s">
        <v>3</v>
      </c>
      <c r="C241" t="s">
        <v>224</v>
      </c>
      <c r="D241" t="s">
        <v>227</v>
      </c>
      <c r="E241">
        <v>66</v>
      </c>
      <c r="F241">
        <v>112</v>
      </c>
      <c r="G241" s="1">
        <v>8211</v>
      </c>
      <c r="H241" s="1">
        <v>8211</v>
      </c>
      <c r="I241" s="1">
        <v>20199</v>
      </c>
      <c r="J241" s="1">
        <v>2460</v>
      </c>
    </row>
    <row r="242" spans="1:10" x14ac:dyDescent="0.3">
      <c r="A242" t="s">
        <v>195</v>
      </c>
      <c r="B242" t="s">
        <v>3</v>
      </c>
      <c r="C242" t="s">
        <v>224</v>
      </c>
      <c r="D242" t="s">
        <v>226</v>
      </c>
      <c r="E242">
        <v>66</v>
      </c>
      <c r="F242">
        <v>126</v>
      </c>
      <c r="G242" s="1">
        <v>1392</v>
      </c>
      <c r="H242" s="1">
        <v>1392</v>
      </c>
      <c r="I242" s="1">
        <v>3243</v>
      </c>
      <c r="J242" s="1">
        <v>2330</v>
      </c>
    </row>
    <row r="243" spans="1:10" x14ac:dyDescent="0.3">
      <c r="A243" t="s">
        <v>195</v>
      </c>
      <c r="B243" t="s">
        <v>3</v>
      </c>
      <c r="C243" t="s">
        <v>224</v>
      </c>
      <c r="D243" t="s">
        <v>58</v>
      </c>
      <c r="E243">
        <v>66</v>
      </c>
      <c r="F243">
        <v>133</v>
      </c>
      <c r="G243" s="1">
        <v>150</v>
      </c>
      <c r="H243" s="1">
        <v>150</v>
      </c>
      <c r="I243" s="1">
        <v>345</v>
      </c>
      <c r="J243" s="1">
        <v>2300</v>
      </c>
    </row>
    <row r="244" spans="1:10" x14ac:dyDescent="0.3">
      <c r="A244" t="s">
        <v>195</v>
      </c>
      <c r="B244" t="s">
        <v>3</v>
      </c>
      <c r="C244" t="s">
        <v>224</v>
      </c>
      <c r="D244" t="s">
        <v>225</v>
      </c>
      <c r="E244">
        <v>66</v>
      </c>
      <c r="F244">
        <v>140</v>
      </c>
      <c r="G244" s="1">
        <v>3000</v>
      </c>
      <c r="H244" s="1">
        <v>3000</v>
      </c>
      <c r="I244" s="1">
        <v>7440</v>
      </c>
      <c r="J244" s="1">
        <v>2480</v>
      </c>
    </row>
    <row r="245" spans="1:10" x14ac:dyDescent="0.3">
      <c r="A245" t="s">
        <v>194</v>
      </c>
      <c r="B245" t="s">
        <v>3</v>
      </c>
      <c r="C245" t="s">
        <v>224</v>
      </c>
      <c r="D245" t="s">
        <v>235</v>
      </c>
      <c r="E245">
        <v>66</v>
      </c>
      <c r="F245">
        <v>7</v>
      </c>
      <c r="G245" s="1">
        <v>171582</v>
      </c>
      <c r="H245" s="1">
        <v>171582</v>
      </c>
      <c r="I245" s="1">
        <v>411366</v>
      </c>
      <c r="J245" s="1">
        <v>2397</v>
      </c>
    </row>
    <row r="246" spans="1:10" x14ac:dyDescent="0.3">
      <c r="A246" t="s">
        <v>194</v>
      </c>
      <c r="B246" t="s">
        <v>3</v>
      </c>
      <c r="C246" t="s">
        <v>224</v>
      </c>
      <c r="D246" t="s">
        <v>41</v>
      </c>
      <c r="E246">
        <v>66</v>
      </c>
      <c r="F246">
        <v>28</v>
      </c>
      <c r="G246" s="1">
        <v>1050</v>
      </c>
      <c r="H246" s="1">
        <v>1050</v>
      </c>
      <c r="I246" s="1">
        <v>2625</v>
      </c>
      <c r="J246" s="1">
        <v>2500</v>
      </c>
    </row>
    <row r="247" spans="1:10" x14ac:dyDescent="0.3">
      <c r="A247" t="s">
        <v>194</v>
      </c>
      <c r="B247" t="s">
        <v>3</v>
      </c>
      <c r="C247" t="s">
        <v>224</v>
      </c>
      <c r="D247" t="s">
        <v>234</v>
      </c>
      <c r="E247">
        <v>66</v>
      </c>
      <c r="F247">
        <v>35</v>
      </c>
      <c r="G247" s="1">
        <v>400</v>
      </c>
      <c r="H247" s="1">
        <v>400</v>
      </c>
      <c r="I247" s="1">
        <v>1010</v>
      </c>
      <c r="J247" s="1">
        <v>2525</v>
      </c>
    </row>
    <row r="248" spans="1:10" x14ac:dyDescent="0.3">
      <c r="A248" t="s">
        <v>194</v>
      </c>
      <c r="B248" t="s">
        <v>3</v>
      </c>
      <c r="C248" t="s">
        <v>224</v>
      </c>
      <c r="D248" t="s">
        <v>233</v>
      </c>
      <c r="E248">
        <v>66</v>
      </c>
      <c r="F248">
        <v>42</v>
      </c>
      <c r="G248" s="1">
        <v>310</v>
      </c>
      <c r="H248" s="1">
        <v>310</v>
      </c>
      <c r="I248" s="1">
        <v>775</v>
      </c>
      <c r="J248" s="1">
        <v>2500</v>
      </c>
    </row>
    <row r="249" spans="1:10" x14ac:dyDescent="0.3">
      <c r="A249" t="s">
        <v>194</v>
      </c>
      <c r="B249" t="s">
        <v>3</v>
      </c>
      <c r="C249" t="s">
        <v>224</v>
      </c>
      <c r="D249" t="s">
        <v>232</v>
      </c>
      <c r="E249">
        <v>66</v>
      </c>
      <c r="F249">
        <v>49</v>
      </c>
      <c r="G249" s="1">
        <v>2125</v>
      </c>
      <c r="H249" s="1">
        <v>2125</v>
      </c>
      <c r="I249" s="1">
        <v>5100</v>
      </c>
      <c r="J249" s="1">
        <v>2400</v>
      </c>
    </row>
    <row r="250" spans="1:10" x14ac:dyDescent="0.3">
      <c r="A250" t="s">
        <v>194</v>
      </c>
      <c r="B250" t="s">
        <v>3</v>
      </c>
      <c r="C250" t="s">
        <v>224</v>
      </c>
      <c r="D250" t="s">
        <v>231</v>
      </c>
      <c r="E250">
        <v>66</v>
      </c>
      <c r="F250">
        <v>56</v>
      </c>
      <c r="G250" s="1">
        <v>36827</v>
      </c>
      <c r="H250" s="1">
        <v>36727</v>
      </c>
      <c r="I250" s="1">
        <v>84432</v>
      </c>
      <c r="J250" s="1">
        <v>2299</v>
      </c>
    </row>
    <row r="251" spans="1:10" x14ac:dyDescent="0.3">
      <c r="A251" t="s">
        <v>194</v>
      </c>
      <c r="B251" t="s">
        <v>3</v>
      </c>
      <c r="C251" t="s">
        <v>224</v>
      </c>
      <c r="D251" t="s">
        <v>230</v>
      </c>
      <c r="E251">
        <v>66</v>
      </c>
      <c r="F251">
        <v>77</v>
      </c>
      <c r="G251" s="1">
        <v>105</v>
      </c>
      <c r="H251" s="1">
        <v>105</v>
      </c>
      <c r="I251" s="1">
        <v>252</v>
      </c>
      <c r="J251" s="1">
        <v>2400</v>
      </c>
    </row>
    <row r="252" spans="1:10" x14ac:dyDescent="0.3">
      <c r="A252" t="s">
        <v>194</v>
      </c>
      <c r="B252" t="s">
        <v>3</v>
      </c>
      <c r="C252" t="s">
        <v>224</v>
      </c>
      <c r="D252" t="s">
        <v>229</v>
      </c>
      <c r="E252">
        <v>66</v>
      </c>
      <c r="F252">
        <v>84</v>
      </c>
      <c r="G252" s="1">
        <v>1215</v>
      </c>
      <c r="H252" s="1">
        <v>1215</v>
      </c>
      <c r="I252" s="1">
        <v>3038</v>
      </c>
      <c r="J252" s="1">
        <v>2500</v>
      </c>
    </row>
    <row r="253" spans="1:10" x14ac:dyDescent="0.3">
      <c r="A253" t="s">
        <v>194</v>
      </c>
      <c r="B253" t="s">
        <v>3</v>
      </c>
      <c r="C253" t="s">
        <v>224</v>
      </c>
      <c r="D253" t="s">
        <v>228</v>
      </c>
      <c r="E253">
        <v>66</v>
      </c>
      <c r="F253">
        <v>98</v>
      </c>
      <c r="G253" s="1">
        <v>50</v>
      </c>
      <c r="H253" s="1">
        <v>50</v>
      </c>
      <c r="I253" s="1">
        <v>115</v>
      </c>
      <c r="J253" s="1">
        <v>2300</v>
      </c>
    </row>
    <row r="254" spans="1:10" x14ac:dyDescent="0.3">
      <c r="A254" t="s">
        <v>194</v>
      </c>
      <c r="B254" t="s">
        <v>3</v>
      </c>
      <c r="C254" t="s">
        <v>224</v>
      </c>
      <c r="D254" t="s">
        <v>227</v>
      </c>
      <c r="E254">
        <v>66</v>
      </c>
      <c r="F254">
        <v>112</v>
      </c>
      <c r="G254" s="1">
        <v>35293</v>
      </c>
      <c r="H254" s="1">
        <v>35293</v>
      </c>
      <c r="I254" s="1">
        <v>87904</v>
      </c>
      <c r="J254" s="1">
        <v>2491</v>
      </c>
    </row>
    <row r="255" spans="1:10" x14ac:dyDescent="0.3">
      <c r="A255" t="s">
        <v>194</v>
      </c>
      <c r="B255" t="s">
        <v>3</v>
      </c>
      <c r="C255" t="s">
        <v>224</v>
      </c>
      <c r="D255" t="s">
        <v>226</v>
      </c>
      <c r="E255">
        <v>66</v>
      </c>
      <c r="F255">
        <v>126</v>
      </c>
      <c r="G255" s="1">
        <v>9580</v>
      </c>
      <c r="H255" s="1">
        <v>9430</v>
      </c>
      <c r="I255" s="1">
        <v>22535</v>
      </c>
      <c r="J255" s="1">
        <v>2390</v>
      </c>
    </row>
    <row r="256" spans="1:10" x14ac:dyDescent="0.3">
      <c r="A256" t="s">
        <v>194</v>
      </c>
      <c r="B256" t="s">
        <v>3</v>
      </c>
      <c r="C256" t="s">
        <v>224</v>
      </c>
      <c r="D256" t="s">
        <v>58</v>
      </c>
      <c r="E256">
        <v>66</v>
      </c>
      <c r="F256">
        <v>133</v>
      </c>
      <c r="G256" s="1">
        <v>12450</v>
      </c>
      <c r="H256" s="1">
        <v>12450</v>
      </c>
      <c r="I256" s="1">
        <v>28635</v>
      </c>
      <c r="J256" s="1">
        <v>2300</v>
      </c>
    </row>
    <row r="257" spans="1:10" x14ac:dyDescent="0.3">
      <c r="A257" t="s">
        <v>194</v>
      </c>
      <c r="B257" t="s">
        <v>3</v>
      </c>
      <c r="C257" t="s">
        <v>224</v>
      </c>
      <c r="D257" t="s">
        <v>225</v>
      </c>
      <c r="E257">
        <v>66</v>
      </c>
      <c r="F257">
        <v>140</v>
      </c>
      <c r="G257" s="1">
        <v>37186</v>
      </c>
      <c r="H257" s="1">
        <v>37186</v>
      </c>
      <c r="I257" s="1">
        <v>92905</v>
      </c>
      <c r="J257" s="1">
        <v>2498</v>
      </c>
    </row>
    <row r="258" spans="1:10" x14ac:dyDescent="0.3">
      <c r="A258" t="s">
        <v>194</v>
      </c>
      <c r="B258" t="s">
        <v>3</v>
      </c>
      <c r="C258" t="s">
        <v>224</v>
      </c>
      <c r="D258" t="s">
        <v>223</v>
      </c>
      <c r="E258">
        <v>66</v>
      </c>
      <c r="F258">
        <v>147</v>
      </c>
      <c r="G258" s="1">
        <v>50</v>
      </c>
      <c r="H258" s="1">
        <v>50</v>
      </c>
      <c r="I258" s="1">
        <v>120</v>
      </c>
      <c r="J258" s="1">
        <v>2400</v>
      </c>
    </row>
    <row r="259" spans="1:10" x14ac:dyDescent="0.3">
      <c r="A259" t="s">
        <v>117</v>
      </c>
      <c r="B259" t="s">
        <v>3</v>
      </c>
      <c r="C259" t="s">
        <v>224</v>
      </c>
      <c r="D259" t="s">
        <v>235</v>
      </c>
      <c r="E259">
        <v>66</v>
      </c>
      <c r="F259">
        <v>7</v>
      </c>
      <c r="G259" s="1">
        <v>22610</v>
      </c>
      <c r="H259" s="1">
        <v>18571</v>
      </c>
      <c r="I259" s="1">
        <v>46428</v>
      </c>
      <c r="J259" s="1">
        <v>2500</v>
      </c>
    </row>
    <row r="260" spans="1:10" x14ac:dyDescent="0.3">
      <c r="A260" t="s">
        <v>117</v>
      </c>
      <c r="B260" t="s">
        <v>3</v>
      </c>
      <c r="C260" t="s">
        <v>224</v>
      </c>
      <c r="D260" t="s">
        <v>232</v>
      </c>
      <c r="E260">
        <v>66</v>
      </c>
      <c r="F260">
        <v>49</v>
      </c>
      <c r="G260" s="1">
        <v>500</v>
      </c>
      <c r="H260" s="1">
        <v>500</v>
      </c>
      <c r="I260" s="1">
        <v>1200</v>
      </c>
      <c r="J260" s="1">
        <v>2400</v>
      </c>
    </row>
    <row r="261" spans="1:10" x14ac:dyDescent="0.3">
      <c r="A261" t="s">
        <v>117</v>
      </c>
      <c r="B261" t="s">
        <v>3</v>
      </c>
      <c r="C261" t="s">
        <v>224</v>
      </c>
      <c r="D261" t="s">
        <v>231</v>
      </c>
      <c r="E261">
        <v>66</v>
      </c>
      <c r="F261">
        <v>56</v>
      </c>
      <c r="G261" s="1">
        <v>6250</v>
      </c>
      <c r="H261" s="1">
        <v>6050</v>
      </c>
      <c r="I261" s="1">
        <v>15730</v>
      </c>
      <c r="J261" s="1">
        <v>2600</v>
      </c>
    </row>
    <row r="262" spans="1:10" x14ac:dyDescent="0.3">
      <c r="A262" t="s">
        <v>117</v>
      </c>
      <c r="B262" t="s">
        <v>3</v>
      </c>
      <c r="C262" t="s">
        <v>224</v>
      </c>
      <c r="D262" t="s">
        <v>229</v>
      </c>
      <c r="E262">
        <v>66</v>
      </c>
      <c r="F262">
        <v>84</v>
      </c>
      <c r="G262" s="1">
        <v>140</v>
      </c>
      <c r="H262" s="1">
        <v>140</v>
      </c>
      <c r="I262" s="1">
        <v>364</v>
      </c>
      <c r="J262" s="1">
        <v>2600</v>
      </c>
    </row>
    <row r="263" spans="1:10" x14ac:dyDescent="0.3">
      <c r="A263" t="s">
        <v>117</v>
      </c>
      <c r="B263" t="s">
        <v>3</v>
      </c>
      <c r="C263" t="s">
        <v>224</v>
      </c>
      <c r="D263" t="s">
        <v>227</v>
      </c>
      <c r="E263">
        <v>66</v>
      </c>
      <c r="F263">
        <v>112</v>
      </c>
      <c r="G263" s="1">
        <v>2200</v>
      </c>
      <c r="H263" s="1">
        <v>2050</v>
      </c>
      <c r="I263" s="1">
        <v>5330</v>
      </c>
      <c r="J263" s="1">
        <v>2600</v>
      </c>
    </row>
    <row r="264" spans="1:10" x14ac:dyDescent="0.3">
      <c r="A264" t="s">
        <v>117</v>
      </c>
      <c r="B264" t="s">
        <v>3</v>
      </c>
      <c r="C264" t="s">
        <v>224</v>
      </c>
      <c r="D264" t="s">
        <v>226</v>
      </c>
      <c r="E264">
        <v>66</v>
      </c>
      <c r="F264">
        <v>126</v>
      </c>
      <c r="G264" s="1">
        <v>1675</v>
      </c>
      <c r="H264" s="1">
        <v>1675</v>
      </c>
      <c r="I264" s="1">
        <v>4188</v>
      </c>
      <c r="J264" s="1">
        <v>2500</v>
      </c>
    </row>
    <row r="265" spans="1:10" x14ac:dyDescent="0.3">
      <c r="A265" t="s">
        <v>117</v>
      </c>
      <c r="B265" t="s">
        <v>3</v>
      </c>
      <c r="C265" t="s">
        <v>224</v>
      </c>
      <c r="D265" t="s">
        <v>58</v>
      </c>
      <c r="E265">
        <v>66</v>
      </c>
      <c r="F265">
        <v>133</v>
      </c>
      <c r="G265" s="1">
        <v>200</v>
      </c>
      <c r="H265" s="1">
        <v>150</v>
      </c>
      <c r="I265" s="1">
        <v>375</v>
      </c>
      <c r="J265" s="1">
        <v>2500</v>
      </c>
    </row>
    <row r="266" spans="1:10" x14ac:dyDescent="0.3">
      <c r="A266" t="s">
        <v>117</v>
      </c>
      <c r="B266" t="s">
        <v>3</v>
      </c>
      <c r="C266" t="s">
        <v>224</v>
      </c>
      <c r="D266" t="s">
        <v>225</v>
      </c>
      <c r="E266">
        <v>66</v>
      </c>
      <c r="F266">
        <v>140</v>
      </c>
      <c r="G266" s="1">
        <v>2500</v>
      </c>
      <c r="H266" s="1">
        <v>2250</v>
      </c>
      <c r="I266" s="1">
        <v>5625</v>
      </c>
      <c r="J266" s="1">
        <v>2500</v>
      </c>
    </row>
    <row r="267" spans="1:10" x14ac:dyDescent="0.3">
      <c r="A267" t="s">
        <v>21</v>
      </c>
      <c r="B267" t="s">
        <v>3</v>
      </c>
      <c r="C267" t="s">
        <v>224</v>
      </c>
      <c r="D267" t="s">
        <v>235</v>
      </c>
      <c r="E267">
        <v>66</v>
      </c>
      <c r="F267">
        <v>7</v>
      </c>
      <c r="G267" s="1">
        <v>7633</v>
      </c>
      <c r="H267" s="1">
        <v>7633</v>
      </c>
      <c r="I267" s="1">
        <v>9923</v>
      </c>
      <c r="J267" s="1">
        <v>1300</v>
      </c>
    </row>
    <row r="268" spans="1:10" x14ac:dyDescent="0.3">
      <c r="A268" t="s">
        <v>21</v>
      </c>
      <c r="B268" t="s">
        <v>3</v>
      </c>
      <c r="C268" t="s">
        <v>224</v>
      </c>
      <c r="D268" t="s">
        <v>225</v>
      </c>
      <c r="E268">
        <v>66</v>
      </c>
      <c r="F268">
        <v>140</v>
      </c>
      <c r="G268" s="1">
        <v>500</v>
      </c>
      <c r="H268" s="1">
        <v>500</v>
      </c>
      <c r="I268" s="1">
        <v>500</v>
      </c>
      <c r="J268" s="1">
        <v>1000</v>
      </c>
    </row>
    <row r="269" spans="1:10" x14ac:dyDescent="0.3">
      <c r="A269" t="s">
        <v>19</v>
      </c>
      <c r="B269" t="s">
        <v>3</v>
      </c>
      <c r="C269" t="s">
        <v>224</v>
      </c>
      <c r="D269" t="s">
        <v>235</v>
      </c>
      <c r="E269">
        <v>66</v>
      </c>
      <c r="F269">
        <v>7</v>
      </c>
      <c r="G269" s="1">
        <v>29233</v>
      </c>
      <c r="H269" s="1">
        <v>29233</v>
      </c>
      <c r="I269" s="1">
        <v>48803</v>
      </c>
      <c r="J269" s="1">
        <v>1669</v>
      </c>
    </row>
    <row r="270" spans="1:10" x14ac:dyDescent="0.3">
      <c r="A270" t="s">
        <v>19</v>
      </c>
      <c r="B270" t="s">
        <v>3</v>
      </c>
      <c r="C270" t="s">
        <v>224</v>
      </c>
      <c r="D270" t="s">
        <v>41</v>
      </c>
      <c r="E270">
        <v>66</v>
      </c>
      <c r="F270">
        <v>28</v>
      </c>
      <c r="G270" s="1">
        <v>230</v>
      </c>
      <c r="H270" s="1">
        <v>230</v>
      </c>
      <c r="I270" s="1">
        <v>276</v>
      </c>
      <c r="J270" s="1">
        <v>1200</v>
      </c>
    </row>
    <row r="271" spans="1:10" x14ac:dyDescent="0.3">
      <c r="A271" t="s">
        <v>19</v>
      </c>
      <c r="B271" t="s">
        <v>3</v>
      </c>
      <c r="C271" t="s">
        <v>224</v>
      </c>
      <c r="D271" t="s">
        <v>234</v>
      </c>
      <c r="E271">
        <v>66</v>
      </c>
      <c r="F271">
        <v>35</v>
      </c>
      <c r="G271" s="1">
        <v>150</v>
      </c>
      <c r="H271" s="1">
        <v>150</v>
      </c>
      <c r="I271" s="1">
        <v>180</v>
      </c>
      <c r="J271" s="1">
        <v>1200</v>
      </c>
    </row>
    <row r="272" spans="1:10" x14ac:dyDescent="0.3">
      <c r="A272" t="s">
        <v>19</v>
      </c>
      <c r="B272" t="s">
        <v>3</v>
      </c>
      <c r="C272" t="s">
        <v>224</v>
      </c>
      <c r="D272" t="s">
        <v>233</v>
      </c>
      <c r="E272">
        <v>66</v>
      </c>
      <c r="F272">
        <v>42</v>
      </c>
      <c r="G272" s="1">
        <v>640</v>
      </c>
      <c r="H272" s="1">
        <v>640</v>
      </c>
      <c r="I272" s="1">
        <v>768</v>
      </c>
      <c r="J272" s="1">
        <v>1200</v>
      </c>
    </row>
    <row r="273" spans="1:10" x14ac:dyDescent="0.3">
      <c r="A273" t="s">
        <v>19</v>
      </c>
      <c r="B273" t="s">
        <v>3</v>
      </c>
      <c r="C273" t="s">
        <v>224</v>
      </c>
      <c r="D273" t="s">
        <v>232</v>
      </c>
      <c r="E273">
        <v>66</v>
      </c>
      <c r="F273">
        <v>49</v>
      </c>
      <c r="G273" s="1">
        <v>155</v>
      </c>
      <c r="H273" s="1">
        <v>155</v>
      </c>
      <c r="I273" s="1">
        <v>171</v>
      </c>
      <c r="J273" s="1">
        <v>1103</v>
      </c>
    </row>
    <row r="274" spans="1:10" x14ac:dyDescent="0.3">
      <c r="A274" t="s">
        <v>19</v>
      </c>
      <c r="B274" t="s">
        <v>3</v>
      </c>
      <c r="C274" t="s">
        <v>224</v>
      </c>
      <c r="D274" t="s">
        <v>231</v>
      </c>
      <c r="E274">
        <v>66</v>
      </c>
      <c r="F274">
        <v>56</v>
      </c>
      <c r="G274" s="1">
        <v>6600</v>
      </c>
      <c r="H274" s="1">
        <v>6600</v>
      </c>
      <c r="I274" s="1">
        <v>6600</v>
      </c>
      <c r="J274" s="1">
        <v>1000</v>
      </c>
    </row>
    <row r="275" spans="1:10" x14ac:dyDescent="0.3">
      <c r="A275" t="s">
        <v>19</v>
      </c>
      <c r="B275" t="s">
        <v>3</v>
      </c>
      <c r="C275" t="s">
        <v>224</v>
      </c>
      <c r="D275" t="s">
        <v>230</v>
      </c>
      <c r="E275">
        <v>66</v>
      </c>
      <c r="F275">
        <v>77</v>
      </c>
      <c r="G275" s="1">
        <v>85</v>
      </c>
      <c r="H275" s="1">
        <v>85</v>
      </c>
      <c r="I275" s="1">
        <v>102</v>
      </c>
      <c r="J275" s="1">
        <v>1200</v>
      </c>
    </row>
    <row r="276" spans="1:10" x14ac:dyDescent="0.3">
      <c r="A276" t="s">
        <v>19</v>
      </c>
      <c r="B276" t="s">
        <v>3</v>
      </c>
      <c r="C276" t="s">
        <v>224</v>
      </c>
      <c r="D276" t="s">
        <v>229</v>
      </c>
      <c r="E276">
        <v>66</v>
      </c>
      <c r="F276">
        <v>84</v>
      </c>
      <c r="G276" s="1">
        <v>1100</v>
      </c>
      <c r="H276" s="1">
        <v>1100</v>
      </c>
      <c r="I276" s="1">
        <v>1100</v>
      </c>
      <c r="J276" s="1">
        <v>1000</v>
      </c>
    </row>
    <row r="277" spans="1:10" x14ac:dyDescent="0.3">
      <c r="A277" t="s">
        <v>19</v>
      </c>
      <c r="B277" t="s">
        <v>3</v>
      </c>
      <c r="C277" t="s">
        <v>224</v>
      </c>
      <c r="D277" t="s">
        <v>228</v>
      </c>
      <c r="E277">
        <v>66</v>
      </c>
      <c r="F277">
        <v>98</v>
      </c>
      <c r="G277" s="1">
        <v>50</v>
      </c>
      <c r="H277" s="1">
        <v>50</v>
      </c>
      <c r="I277" s="1">
        <v>60</v>
      </c>
      <c r="J277" s="1">
        <v>1200</v>
      </c>
    </row>
    <row r="278" spans="1:10" x14ac:dyDescent="0.3">
      <c r="A278" t="s">
        <v>19</v>
      </c>
      <c r="B278" t="s">
        <v>3</v>
      </c>
      <c r="C278" t="s">
        <v>224</v>
      </c>
      <c r="D278" t="s">
        <v>227</v>
      </c>
      <c r="E278">
        <v>66</v>
      </c>
      <c r="F278">
        <v>112</v>
      </c>
      <c r="G278" s="1">
        <v>8100</v>
      </c>
      <c r="H278" s="1">
        <v>8080</v>
      </c>
      <c r="I278" s="1">
        <v>8888</v>
      </c>
      <c r="J278" s="1">
        <v>1100</v>
      </c>
    </row>
    <row r="279" spans="1:10" x14ac:dyDescent="0.3">
      <c r="A279" t="s">
        <v>19</v>
      </c>
      <c r="B279" t="s">
        <v>3</v>
      </c>
      <c r="C279" t="s">
        <v>224</v>
      </c>
      <c r="D279" t="s">
        <v>226</v>
      </c>
      <c r="E279">
        <v>66</v>
      </c>
      <c r="F279">
        <v>126</v>
      </c>
      <c r="G279" s="1">
        <v>4700</v>
      </c>
      <c r="H279" s="1">
        <v>4700</v>
      </c>
      <c r="I279" s="1">
        <v>4700</v>
      </c>
      <c r="J279" s="1">
        <v>1000</v>
      </c>
    </row>
    <row r="280" spans="1:10" x14ac:dyDescent="0.3">
      <c r="A280" t="s">
        <v>19</v>
      </c>
      <c r="B280" t="s">
        <v>3</v>
      </c>
      <c r="C280" t="s">
        <v>224</v>
      </c>
      <c r="D280" t="s">
        <v>58</v>
      </c>
      <c r="E280">
        <v>66</v>
      </c>
      <c r="F280">
        <v>133</v>
      </c>
      <c r="G280" s="1">
        <v>1150</v>
      </c>
      <c r="H280" s="1">
        <v>1150</v>
      </c>
      <c r="I280" s="1">
        <v>1265</v>
      </c>
      <c r="J280" s="1">
        <v>1100</v>
      </c>
    </row>
    <row r="281" spans="1:10" x14ac:dyDescent="0.3">
      <c r="A281" t="s">
        <v>19</v>
      </c>
      <c r="B281" t="s">
        <v>3</v>
      </c>
      <c r="C281" t="s">
        <v>224</v>
      </c>
      <c r="D281" t="s">
        <v>225</v>
      </c>
      <c r="E281">
        <v>66</v>
      </c>
      <c r="F281">
        <v>140</v>
      </c>
      <c r="G281" s="1">
        <v>5500</v>
      </c>
      <c r="H281" s="1">
        <v>5500</v>
      </c>
      <c r="I281" s="1">
        <v>5500</v>
      </c>
      <c r="J281" s="1">
        <v>1000</v>
      </c>
    </row>
    <row r="282" spans="1:10" x14ac:dyDescent="0.3">
      <c r="A282" t="s">
        <v>19</v>
      </c>
      <c r="B282" t="s">
        <v>3</v>
      </c>
      <c r="C282" t="s">
        <v>224</v>
      </c>
      <c r="D282" t="s">
        <v>223</v>
      </c>
      <c r="E282">
        <v>66</v>
      </c>
      <c r="F282">
        <v>147</v>
      </c>
      <c r="G282" s="1">
        <v>210</v>
      </c>
      <c r="H282" s="1">
        <v>210</v>
      </c>
      <c r="I282" s="1">
        <v>252</v>
      </c>
      <c r="J282" s="1">
        <v>1200</v>
      </c>
    </row>
    <row r="283" spans="1:10" x14ac:dyDescent="0.3">
      <c r="A283" t="s">
        <v>16</v>
      </c>
      <c r="B283" t="s">
        <v>3</v>
      </c>
      <c r="C283" t="s">
        <v>214</v>
      </c>
      <c r="D283" t="s">
        <v>216</v>
      </c>
      <c r="E283">
        <v>38</v>
      </c>
      <c r="F283">
        <v>63</v>
      </c>
      <c r="G283" s="1">
        <v>810</v>
      </c>
      <c r="H283" s="1">
        <v>810</v>
      </c>
      <c r="I283" s="1">
        <v>1134</v>
      </c>
      <c r="J283" s="1">
        <v>1400</v>
      </c>
    </row>
    <row r="284" spans="1:10" x14ac:dyDescent="0.3">
      <c r="A284" t="s">
        <v>15</v>
      </c>
      <c r="B284" t="s">
        <v>3</v>
      </c>
      <c r="C284" t="s">
        <v>214</v>
      </c>
      <c r="D284" t="s">
        <v>216</v>
      </c>
      <c r="E284">
        <v>38</v>
      </c>
      <c r="F284">
        <v>63</v>
      </c>
      <c r="G284" s="1">
        <v>60</v>
      </c>
      <c r="H284" s="1">
        <v>60</v>
      </c>
      <c r="I284" s="1">
        <v>48</v>
      </c>
      <c r="J284" s="1">
        <v>800</v>
      </c>
    </row>
    <row r="285" spans="1:10" x14ac:dyDescent="0.3">
      <c r="A285" t="s">
        <v>1</v>
      </c>
      <c r="B285" t="s">
        <v>3</v>
      </c>
      <c r="C285" t="s">
        <v>214</v>
      </c>
      <c r="D285" t="s">
        <v>215</v>
      </c>
      <c r="E285">
        <v>38</v>
      </c>
      <c r="F285">
        <v>70</v>
      </c>
      <c r="G285" s="1">
        <v>120</v>
      </c>
      <c r="H285" s="1">
        <v>120</v>
      </c>
      <c r="I285" s="1">
        <v>120</v>
      </c>
      <c r="J285" s="1">
        <v>1000</v>
      </c>
    </row>
    <row r="286" spans="1:10" x14ac:dyDescent="0.3">
      <c r="A286" t="s">
        <v>119</v>
      </c>
      <c r="B286" t="s">
        <v>3</v>
      </c>
      <c r="C286" t="s">
        <v>214</v>
      </c>
      <c r="D286" t="s">
        <v>221</v>
      </c>
      <c r="E286">
        <v>38</v>
      </c>
      <c r="F286">
        <v>21</v>
      </c>
      <c r="G286" s="1">
        <v>100</v>
      </c>
      <c r="H286" s="1">
        <v>100</v>
      </c>
      <c r="I286" s="1">
        <v>398</v>
      </c>
      <c r="J286" s="1">
        <v>4000</v>
      </c>
    </row>
    <row r="287" spans="1:10" x14ac:dyDescent="0.3">
      <c r="A287" t="s">
        <v>119</v>
      </c>
      <c r="B287" t="s">
        <v>3</v>
      </c>
      <c r="C287" t="s">
        <v>214</v>
      </c>
      <c r="D287" t="s">
        <v>220</v>
      </c>
      <c r="E287">
        <v>38</v>
      </c>
      <c r="F287">
        <v>14</v>
      </c>
      <c r="G287" s="1">
        <v>1258</v>
      </c>
      <c r="H287" s="1">
        <v>1229</v>
      </c>
      <c r="I287" s="1">
        <v>4916</v>
      </c>
      <c r="J287" s="1">
        <v>4000</v>
      </c>
    </row>
    <row r="288" spans="1:10" x14ac:dyDescent="0.3">
      <c r="A288" t="s">
        <v>119</v>
      </c>
      <c r="B288" t="s">
        <v>3</v>
      </c>
      <c r="C288" t="s">
        <v>214</v>
      </c>
      <c r="D288" t="s">
        <v>219</v>
      </c>
      <c r="E288">
        <v>38</v>
      </c>
      <c r="F288">
        <v>35</v>
      </c>
      <c r="G288" s="1">
        <v>300</v>
      </c>
      <c r="H288" s="1">
        <v>276</v>
      </c>
      <c r="I288" s="1">
        <v>1104</v>
      </c>
      <c r="J288" s="1">
        <v>4000</v>
      </c>
    </row>
    <row r="289" spans="1:10" x14ac:dyDescent="0.3">
      <c r="A289" t="s">
        <v>119</v>
      </c>
      <c r="B289" t="s">
        <v>3</v>
      </c>
      <c r="C289" t="s">
        <v>214</v>
      </c>
      <c r="D289" t="s">
        <v>218</v>
      </c>
      <c r="E289">
        <v>38</v>
      </c>
      <c r="F289">
        <v>42</v>
      </c>
      <c r="G289" s="1">
        <v>140</v>
      </c>
      <c r="H289" s="1">
        <v>139</v>
      </c>
      <c r="I289" s="1">
        <v>554</v>
      </c>
      <c r="J289" s="1">
        <v>4000</v>
      </c>
    </row>
    <row r="290" spans="1:10" x14ac:dyDescent="0.3">
      <c r="A290" t="s">
        <v>119</v>
      </c>
      <c r="B290" t="s">
        <v>3</v>
      </c>
      <c r="C290" t="s">
        <v>214</v>
      </c>
      <c r="D290" t="s">
        <v>217</v>
      </c>
      <c r="E290">
        <v>38</v>
      </c>
      <c r="F290">
        <v>56</v>
      </c>
      <c r="G290" s="1">
        <v>500</v>
      </c>
      <c r="H290" s="1">
        <v>490</v>
      </c>
      <c r="I290" s="1">
        <v>1960</v>
      </c>
      <c r="J290" s="1">
        <v>4000</v>
      </c>
    </row>
    <row r="291" spans="1:10" x14ac:dyDescent="0.3">
      <c r="A291" t="s">
        <v>119</v>
      </c>
      <c r="B291" t="s">
        <v>3</v>
      </c>
      <c r="C291" t="s">
        <v>214</v>
      </c>
      <c r="D291" t="s">
        <v>216</v>
      </c>
      <c r="E291">
        <v>38</v>
      </c>
      <c r="F291">
        <v>63</v>
      </c>
      <c r="G291" s="1">
        <v>2000</v>
      </c>
      <c r="H291" s="1">
        <v>1970</v>
      </c>
      <c r="I291" s="1">
        <v>7880</v>
      </c>
      <c r="J291" s="1">
        <v>4000</v>
      </c>
    </row>
    <row r="292" spans="1:10" x14ac:dyDescent="0.3">
      <c r="A292" t="s">
        <v>119</v>
      </c>
      <c r="B292" t="s">
        <v>3</v>
      </c>
      <c r="C292" t="s">
        <v>214</v>
      </c>
      <c r="D292" t="s">
        <v>215</v>
      </c>
      <c r="E292">
        <v>38</v>
      </c>
      <c r="F292">
        <v>70</v>
      </c>
      <c r="G292" s="1">
        <v>2000</v>
      </c>
      <c r="H292" s="1">
        <v>1400</v>
      </c>
      <c r="I292" s="1">
        <v>5600</v>
      </c>
      <c r="J292" s="1">
        <v>4000</v>
      </c>
    </row>
    <row r="293" spans="1:10" x14ac:dyDescent="0.3">
      <c r="A293" t="s">
        <v>119</v>
      </c>
      <c r="B293" t="s">
        <v>3</v>
      </c>
      <c r="C293" t="s">
        <v>214</v>
      </c>
      <c r="D293" t="s">
        <v>213</v>
      </c>
      <c r="E293">
        <v>38</v>
      </c>
      <c r="F293">
        <v>105</v>
      </c>
      <c r="G293" s="1">
        <v>1300</v>
      </c>
      <c r="H293" s="1">
        <v>1000</v>
      </c>
      <c r="I293" s="1">
        <v>4000</v>
      </c>
      <c r="J293" s="1">
        <v>4000</v>
      </c>
    </row>
    <row r="294" spans="1:10" x14ac:dyDescent="0.3">
      <c r="A294" t="s">
        <v>201</v>
      </c>
      <c r="B294" t="s">
        <v>3</v>
      </c>
      <c r="C294" t="s">
        <v>214</v>
      </c>
      <c r="D294" t="s">
        <v>216</v>
      </c>
      <c r="E294">
        <v>38</v>
      </c>
      <c r="F294">
        <v>63</v>
      </c>
      <c r="G294" s="1">
        <v>400</v>
      </c>
      <c r="H294" s="1">
        <v>400</v>
      </c>
      <c r="I294" s="1">
        <v>520</v>
      </c>
      <c r="J294" s="1">
        <v>1300</v>
      </c>
    </row>
    <row r="295" spans="1:10" x14ac:dyDescent="0.3">
      <c r="A295" t="s">
        <v>222</v>
      </c>
      <c r="B295" t="s">
        <v>3</v>
      </c>
      <c r="C295" t="s">
        <v>214</v>
      </c>
      <c r="D295" t="s">
        <v>220</v>
      </c>
      <c r="E295">
        <v>38</v>
      </c>
      <c r="F295">
        <v>14</v>
      </c>
      <c r="G295" s="1">
        <v>300</v>
      </c>
      <c r="H295" s="1">
        <v>300</v>
      </c>
      <c r="I295" s="1">
        <v>360</v>
      </c>
      <c r="J295" s="1">
        <v>1200</v>
      </c>
    </row>
    <row r="296" spans="1:10" x14ac:dyDescent="0.3">
      <c r="A296" t="s">
        <v>222</v>
      </c>
      <c r="B296" t="s">
        <v>3</v>
      </c>
      <c r="C296" t="s">
        <v>214</v>
      </c>
      <c r="D296" t="s">
        <v>219</v>
      </c>
      <c r="E296">
        <v>38</v>
      </c>
      <c r="F296">
        <v>35</v>
      </c>
      <c r="G296" s="1">
        <v>50</v>
      </c>
      <c r="H296" s="1">
        <v>50</v>
      </c>
      <c r="I296" s="1">
        <v>60</v>
      </c>
      <c r="J296" s="1">
        <v>1200</v>
      </c>
    </row>
    <row r="297" spans="1:10" x14ac:dyDescent="0.3">
      <c r="A297" t="s">
        <v>222</v>
      </c>
      <c r="B297" t="s">
        <v>3</v>
      </c>
      <c r="C297" t="s">
        <v>214</v>
      </c>
      <c r="D297" t="s">
        <v>216</v>
      </c>
      <c r="E297">
        <v>38</v>
      </c>
      <c r="F297">
        <v>63</v>
      </c>
      <c r="G297" s="1">
        <v>9000</v>
      </c>
      <c r="H297" s="1">
        <v>9000</v>
      </c>
      <c r="I297" s="1">
        <v>10800</v>
      </c>
      <c r="J297" s="1">
        <v>1200</v>
      </c>
    </row>
    <row r="298" spans="1:10" x14ac:dyDescent="0.3">
      <c r="A298" t="s">
        <v>222</v>
      </c>
      <c r="B298" t="s">
        <v>3</v>
      </c>
      <c r="C298" t="s">
        <v>214</v>
      </c>
      <c r="D298" t="s">
        <v>215</v>
      </c>
      <c r="E298">
        <v>38</v>
      </c>
      <c r="F298">
        <v>70</v>
      </c>
      <c r="G298" s="1">
        <v>10000</v>
      </c>
      <c r="H298" s="1">
        <v>10000</v>
      </c>
      <c r="I298" s="1">
        <v>12000</v>
      </c>
      <c r="J298" s="1">
        <v>1200</v>
      </c>
    </row>
    <row r="299" spans="1:10" x14ac:dyDescent="0.3">
      <c r="A299" t="s">
        <v>222</v>
      </c>
      <c r="B299" t="s">
        <v>3</v>
      </c>
      <c r="C299" t="s">
        <v>214</v>
      </c>
      <c r="D299" t="s">
        <v>213</v>
      </c>
      <c r="E299">
        <v>38</v>
      </c>
      <c r="F299">
        <v>105</v>
      </c>
      <c r="G299" s="1">
        <v>1000</v>
      </c>
      <c r="H299" s="1">
        <v>1000</v>
      </c>
      <c r="I299" s="1">
        <v>1200</v>
      </c>
      <c r="J299" s="1">
        <v>1200</v>
      </c>
    </row>
    <row r="300" spans="1:10" x14ac:dyDescent="0.3">
      <c r="A300" t="s">
        <v>199</v>
      </c>
      <c r="B300" t="s">
        <v>3</v>
      </c>
      <c r="C300" t="s">
        <v>214</v>
      </c>
      <c r="D300" t="s">
        <v>220</v>
      </c>
      <c r="E300">
        <v>38</v>
      </c>
      <c r="F300">
        <v>14</v>
      </c>
      <c r="G300" s="1">
        <v>518</v>
      </c>
      <c r="H300" s="1">
        <v>518</v>
      </c>
      <c r="I300" s="1">
        <v>622</v>
      </c>
      <c r="J300" s="1">
        <v>1200</v>
      </c>
    </row>
    <row r="301" spans="1:10" x14ac:dyDescent="0.3">
      <c r="A301" t="s">
        <v>199</v>
      </c>
      <c r="B301" t="s">
        <v>3</v>
      </c>
      <c r="C301" t="s">
        <v>214</v>
      </c>
      <c r="D301" t="s">
        <v>218</v>
      </c>
      <c r="E301">
        <v>38</v>
      </c>
      <c r="F301">
        <v>42</v>
      </c>
      <c r="G301" s="1">
        <v>250</v>
      </c>
      <c r="H301" s="1">
        <v>250</v>
      </c>
      <c r="I301" s="1">
        <v>300</v>
      </c>
      <c r="J301" s="1">
        <v>1200</v>
      </c>
    </row>
    <row r="302" spans="1:10" x14ac:dyDescent="0.3">
      <c r="A302" t="s">
        <v>199</v>
      </c>
      <c r="B302" t="s">
        <v>3</v>
      </c>
      <c r="C302" t="s">
        <v>214</v>
      </c>
      <c r="D302" t="s">
        <v>216</v>
      </c>
      <c r="E302">
        <v>38</v>
      </c>
      <c r="F302">
        <v>63</v>
      </c>
      <c r="G302" s="1">
        <v>350</v>
      </c>
      <c r="H302" s="1">
        <v>350</v>
      </c>
      <c r="I302" s="1">
        <v>420</v>
      </c>
      <c r="J302" s="1">
        <v>1200</v>
      </c>
    </row>
    <row r="303" spans="1:10" x14ac:dyDescent="0.3">
      <c r="A303" t="s">
        <v>199</v>
      </c>
      <c r="B303" t="s">
        <v>3</v>
      </c>
      <c r="C303" t="s">
        <v>214</v>
      </c>
      <c r="D303" t="s">
        <v>215</v>
      </c>
      <c r="E303">
        <v>38</v>
      </c>
      <c r="F303">
        <v>70</v>
      </c>
      <c r="G303" s="1">
        <v>2500</v>
      </c>
      <c r="H303" s="1">
        <v>2500</v>
      </c>
      <c r="I303" s="1">
        <v>3000</v>
      </c>
      <c r="J303" s="1">
        <v>1200</v>
      </c>
    </row>
    <row r="304" spans="1:10" x14ac:dyDescent="0.3">
      <c r="A304" t="s">
        <v>199</v>
      </c>
      <c r="B304" t="s">
        <v>3</v>
      </c>
      <c r="C304" t="s">
        <v>214</v>
      </c>
      <c r="D304" t="s">
        <v>213</v>
      </c>
      <c r="E304">
        <v>38</v>
      </c>
      <c r="F304">
        <v>105</v>
      </c>
      <c r="G304" s="1">
        <v>400</v>
      </c>
      <c r="H304" s="1">
        <v>400</v>
      </c>
      <c r="I304" s="1">
        <v>480</v>
      </c>
      <c r="J304" s="1">
        <v>1200</v>
      </c>
    </row>
    <row r="305" spans="1:10" x14ac:dyDescent="0.3">
      <c r="A305" t="s">
        <v>198</v>
      </c>
      <c r="B305" t="s">
        <v>3</v>
      </c>
      <c r="C305" t="s">
        <v>214</v>
      </c>
      <c r="D305" t="s">
        <v>220</v>
      </c>
      <c r="E305">
        <v>38</v>
      </c>
      <c r="F305">
        <v>14</v>
      </c>
      <c r="G305" s="1">
        <v>150</v>
      </c>
      <c r="H305" s="1">
        <v>150</v>
      </c>
      <c r="I305" s="1">
        <v>180</v>
      </c>
      <c r="J305" s="1">
        <v>1200</v>
      </c>
    </row>
    <row r="306" spans="1:10" x14ac:dyDescent="0.3">
      <c r="A306" t="s">
        <v>198</v>
      </c>
      <c r="B306" t="s">
        <v>3</v>
      </c>
      <c r="C306" t="s">
        <v>214</v>
      </c>
      <c r="D306" t="s">
        <v>216</v>
      </c>
      <c r="E306">
        <v>38</v>
      </c>
      <c r="F306">
        <v>63</v>
      </c>
      <c r="G306" s="1">
        <v>500</v>
      </c>
      <c r="H306" s="1">
        <v>500</v>
      </c>
      <c r="I306" s="1">
        <v>600</v>
      </c>
      <c r="J306" s="1">
        <v>1200</v>
      </c>
    </row>
    <row r="307" spans="1:10" x14ac:dyDescent="0.3">
      <c r="A307" t="s">
        <v>198</v>
      </c>
      <c r="B307" t="s">
        <v>3</v>
      </c>
      <c r="C307" t="s">
        <v>214</v>
      </c>
      <c r="D307" t="s">
        <v>215</v>
      </c>
      <c r="E307">
        <v>38</v>
      </c>
      <c r="F307">
        <v>70</v>
      </c>
      <c r="G307" s="1">
        <v>3000</v>
      </c>
      <c r="H307" s="1">
        <v>3000</v>
      </c>
      <c r="I307" s="1">
        <v>3600</v>
      </c>
      <c r="J307" s="1">
        <v>1200</v>
      </c>
    </row>
    <row r="308" spans="1:10" x14ac:dyDescent="0.3">
      <c r="A308" t="s">
        <v>200</v>
      </c>
      <c r="B308" t="s">
        <v>3</v>
      </c>
      <c r="C308" t="s">
        <v>214</v>
      </c>
      <c r="D308" t="s">
        <v>220</v>
      </c>
      <c r="E308">
        <v>38</v>
      </c>
      <c r="F308">
        <v>14</v>
      </c>
      <c r="G308" s="1">
        <v>968</v>
      </c>
      <c r="H308" s="1">
        <v>968</v>
      </c>
      <c r="I308" s="1">
        <v>1162</v>
      </c>
      <c r="J308" s="1">
        <v>1200</v>
      </c>
    </row>
    <row r="309" spans="1:10" x14ac:dyDescent="0.3">
      <c r="A309" t="s">
        <v>200</v>
      </c>
      <c r="B309" t="s">
        <v>3</v>
      </c>
      <c r="C309" t="s">
        <v>214</v>
      </c>
      <c r="D309" t="s">
        <v>219</v>
      </c>
      <c r="E309">
        <v>38</v>
      </c>
      <c r="F309">
        <v>35</v>
      </c>
      <c r="G309" s="1">
        <v>50</v>
      </c>
      <c r="H309" s="1">
        <v>50</v>
      </c>
      <c r="I309" s="1">
        <v>60</v>
      </c>
      <c r="J309" s="1">
        <v>1200</v>
      </c>
    </row>
    <row r="310" spans="1:10" x14ac:dyDescent="0.3">
      <c r="A310" t="s">
        <v>200</v>
      </c>
      <c r="B310" t="s">
        <v>3</v>
      </c>
      <c r="C310" t="s">
        <v>214</v>
      </c>
      <c r="D310" t="s">
        <v>218</v>
      </c>
      <c r="E310">
        <v>38</v>
      </c>
      <c r="F310">
        <v>42</v>
      </c>
      <c r="G310" s="1">
        <v>250</v>
      </c>
      <c r="H310" s="1">
        <v>250</v>
      </c>
      <c r="I310" s="1">
        <v>300</v>
      </c>
      <c r="J310" s="1">
        <v>1200</v>
      </c>
    </row>
    <row r="311" spans="1:10" x14ac:dyDescent="0.3">
      <c r="A311" t="s">
        <v>200</v>
      </c>
      <c r="B311" t="s">
        <v>3</v>
      </c>
      <c r="C311" t="s">
        <v>214</v>
      </c>
      <c r="D311" t="s">
        <v>216</v>
      </c>
      <c r="E311">
        <v>38</v>
      </c>
      <c r="F311">
        <v>63</v>
      </c>
      <c r="G311" s="1">
        <v>9850</v>
      </c>
      <c r="H311" s="1">
        <v>9850</v>
      </c>
      <c r="I311" s="1">
        <v>11820</v>
      </c>
      <c r="J311" s="1">
        <v>1200</v>
      </c>
    </row>
    <row r="312" spans="1:10" x14ac:dyDescent="0.3">
      <c r="A312" t="s">
        <v>200</v>
      </c>
      <c r="B312" t="s">
        <v>3</v>
      </c>
      <c r="C312" t="s">
        <v>214</v>
      </c>
      <c r="D312" t="s">
        <v>215</v>
      </c>
      <c r="E312">
        <v>38</v>
      </c>
      <c r="F312">
        <v>70</v>
      </c>
      <c r="G312" s="1">
        <v>15500</v>
      </c>
      <c r="H312" s="1">
        <v>15500</v>
      </c>
      <c r="I312" s="1">
        <v>18600</v>
      </c>
      <c r="J312" s="1">
        <v>1200</v>
      </c>
    </row>
    <row r="313" spans="1:10" x14ac:dyDescent="0.3">
      <c r="A313" t="s">
        <v>200</v>
      </c>
      <c r="B313" t="s">
        <v>3</v>
      </c>
      <c r="C313" t="s">
        <v>214</v>
      </c>
      <c r="D313" t="s">
        <v>213</v>
      </c>
      <c r="E313">
        <v>38</v>
      </c>
      <c r="F313">
        <v>105</v>
      </c>
      <c r="G313" s="1">
        <v>1400</v>
      </c>
      <c r="H313" s="1">
        <v>1400</v>
      </c>
      <c r="I313" s="1">
        <v>1680</v>
      </c>
      <c r="J313" s="1">
        <v>1200</v>
      </c>
    </row>
    <row r="314" spans="1:10" x14ac:dyDescent="0.3">
      <c r="A314" t="s">
        <v>197</v>
      </c>
      <c r="B314" t="s">
        <v>3</v>
      </c>
      <c r="C314" t="s">
        <v>214</v>
      </c>
      <c r="D314" t="s">
        <v>221</v>
      </c>
      <c r="E314">
        <v>38</v>
      </c>
      <c r="F314">
        <v>21</v>
      </c>
      <c r="G314" s="1">
        <v>138</v>
      </c>
      <c r="H314" s="1">
        <v>135</v>
      </c>
      <c r="I314" s="1">
        <v>271</v>
      </c>
      <c r="J314" s="1">
        <v>2007</v>
      </c>
    </row>
    <row r="315" spans="1:10" x14ac:dyDescent="0.3">
      <c r="A315" t="s">
        <v>197</v>
      </c>
      <c r="B315" t="s">
        <v>3</v>
      </c>
      <c r="C315" t="s">
        <v>214</v>
      </c>
      <c r="D315" t="s">
        <v>220</v>
      </c>
      <c r="E315">
        <v>38</v>
      </c>
      <c r="F315">
        <v>14</v>
      </c>
      <c r="G315" s="1">
        <v>704</v>
      </c>
      <c r="H315" s="1">
        <v>690</v>
      </c>
      <c r="I315" s="1">
        <v>1379</v>
      </c>
      <c r="J315" s="1">
        <v>1999</v>
      </c>
    </row>
    <row r="316" spans="1:10" x14ac:dyDescent="0.3">
      <c r="A316" t="s">
        <v>197</v>
      </c>
      <c r="B316" t="s">
        <v>3</v>
      </c>
      <c r="C316" t="s">
        <v>214</v>
      </c>
      <c r="D316" t="s">
        <v>219</v>
      </c>
      <c r="E316">
        <v>38</v>
      </c>
      <c r="F316">
        <v>35</v>
      </c>
      <c r="G316" s="1">
        <v>570</v>
      </c>
      <c r="H316" s="1">
        <v>564</v>
      </c>
      <c r="I316" s="1">
        <v>1128</v>
      </c>
      <c r="J316" s="1">
        <v>2000</v>
      </c>
    </row>
    <row r="317" spans="1:10" x14ac:dyDescent="0.3">
      <c r="A317" t="s">
        <v>197</v>
      </c>
      <c r="B317" t="s">
        <v>3</v>
      </c>
      <c r="C317" t="s">
        <v>214</v>
      </c>
      <c r="D317" t="s">
        <v>218</v>
      </c>
      <c r="E317">
        <v>38</v>
      </c>
      <c r="F317">
        <v>42</v>
      </c>
      <c r="G317" s="1">
        <v>100</v>
      </c>
      <c r="H317" s="1">
        <v>98</v>
      </c>
      <c r="I317" s="1">
        <v>196</v>
      </c>
      <c r="J317" s="1">
        <v>2000</v>
      </c>
    </row>
    <row r="318" spans="1:10" x14ac:dyDescent="0.3">
      <c r="A318" t="s">
        <v>197</v>
      </c>
      <c r="B318" t="s">
        <v>3</v>
      </c>
      <c r="C318" t="s">
        <v>214</v>
      </c>
      <c r="D318" t="s">
        <v>217</v>
      </c>
      <c r="E318">
        <v>38</v>
      </c>
      <c r="F318">
        <v>56</v>
      </c>
      <c r="G318" s="1">
        <v>300</v>
      </c>
      <c r="H318" s="1">
        <v>298</v>
      </c>
      <c r="I318" s="1">
        <v>596</v>
      </c>
      <c r="J318" s="1">
        <v>2000</v>
      </c>
    </row>
    <row r="319" spans="1:10" x14ac:dyDescent="0.3">
      <c r="A319" t="s">
        <v>197</v>
      </c>
      <c r="B319" t="s">
        <v>3</v>
      </c>
      <c r="C319" t="s">
        <v>214</v>
      </c>
      <c r="D319" t="s">
        <v>216</v>
      </c>
      <c r="E319">
        <v>38</v>
      </c>
      <c r="F319">
        <v>63</v>
      </c>
      <c r="G319" s="1">
        <v>541</v>
      </c>
      <c r="H319" s="1">
        <v>539</v>
      </c>
      <c r="I319" s="1">
        <v>1078</v>
      </c>
      <c r="J319" s="1">
        <v>2000</v>
      </c>
    </row>
    <row r="320" spans="1:10" x14ac:dyDescent="0.3">
      <c r="A320" t="s">
        <v>197</v>
      </c>
      <c r="B320" t="s">
        <v>3</v>
      </c>
      <c r="C320" t="s">
        <v>214</v>
      </c>
      <c r="D320" t="s">
        <v>215</v>
      </c>
      <c r="E320">
        <v>38</v>
      </c>
      <c r="F320">
        <v>70</v>
      </c>
      <c r="G320" s="1">
        <v>200</v>
      </c>
      <c r="H320" s="1">
        <v>198</v>
      </c>
      <c r="I320" s="1">
        <v>396</v>
      </c>
      <c r="J320" s="1">
        <v>2000</v>
      </c>
    </row>
    <row r="321" spans="1:10" x14ac:dyDescent="0.3">
      <c r="A321" t="s">
        <v>197</v>
      </c>
      <c r="B321" t="s">
        <v>3</v>
      </c>
      <c r="C321" t="s">
        <v>214</v>
      </c>
      <c r="D321" t="s">
        <v>213</v>
      </c>
      <c r="E321">
        <v>38</v>
      </c>
      <c r="F321">
        <v>105</v>
      </c>
      <c r="G321" s="1">
        <v>500</v>
      </c>
      <c r="H321" s="1">
        <v>498</v>
      </c>
      <c r="I321" s="1">
        <v>995</v>
      </c>
      <c r="J321" s="1">
        <v>1998</v>
      </c>
    </row>
    <row r="322" spans="1:10" x14ac:dyDescent="0.3">
      <c r="A322" t="s">
        <v>195</v>
      </c>
      <c r="B322" t="s">
        <v>3</v>
      </c>
      <c r="C322" t="s">
        <v>214</v>
      </c>
      <c r="D322" t="s">
        <v>221</v>
      </c>
      <c r="E322">
        <v>38</v>
      </c>
      <c r="F322">
        <v>21</v>
      </c>
      <c r="G322" s="1">
        <v>150</v>
      </c>
      <c r="H322" s="1">
        <v>148</v>
      </c>
      <c r="I322" s="1">
        <v>297</v>
      </c>
      <c r="J322" s="1">
        <v>2000</v>
      </c>
    </row>
    <row r="323" spans="1:10" x14ac:dyDescent="0.3">
      <c r="A323" t="s">
        <v>195</v>
      </c>
      <c r="B323" t="s">
        <v>3</v>
      </c>
      <c r="C323" t="s">
        <v>214</v>
      </c>
      <c r="D323" t="s">
        <v>220</v>
      </c>
      <c r="E323">
        <v>38</v>
      </c>
      <c r="F323">
        <v>14</v>
      </c>
      <c r="G323" s="1">
        <v>762</v>
      </c>
      <c r="H323" s="1">
        <v>755</v>
      </c>
      <c r="I323" s="1">
        <v>1509</v>
      </c>
      <c r="J323" s="1">
        <v>2000</v>
      </c>
    </row>
    <row r="324" spans="1:10" x14ac:dyDescent="0.3">
      <c r="A324" t="s">
        <v>195</v>
      </c>
      <c r="B324" t="s">
        <v>3</v>
      </c>
      <c r="C324" t="s">
        <v>214</v>
      </c>
      <c r="D324" t="s">
        <v>219</v>
      </c>
      <c r="E324">
        <v>38</v>
      </c>
      <c r="F324">
        <v>35</v>
      </c>
      <c r="G324" s="1">
        <v>618</v>
      </c>
      <c r="H324" s="1">
        <v>611</v>
      </c>
      <c r="I324" s="1">
        <v>1222</v>
      </c>
      <c r="J324" s="1">
        <v>2000</v>
      </c>
    </row>
    <row r="325" spans="1:10" x14ac:dyDescent="0.3">
      <c r="A325" t="s">
        <v>195</v>
      </c>
      <c r="B325" t="s">
        <v>3</v>
      </c>
      <c r="C325" t="s">
        <v>214</v>
      </c>
      <c r="D325" t="s">
        <v>218</v>
      </c>
      <c r="E325">
        <v>38</v>
      </c>
      <c r="F325">
        <v>42</v>
      </c>
      <c r="G325" s="1">
        <v>140</v>
      </c>
      <c r="H325" s="1">
        <v>137</v>
      </c>
      <c r="I325" s="1">
        <v>274</v>
      </c>
      <c r="J325" s="1">
        <v>2000</v>
      </c>
    </row>
    <row r="326" spans="1:10" x14ac:dyDescent="0.3">
      <c r="A326" t="s">
        <v>195</v>
      </c>
      <c r="B326" t="s">
        <v>3</v>
      </c>
      <c r="C326" t="s">
        <v>214</v>
      </c>
      <c r="D326" t="s">
        <v>217</v>
      </c>
      <c r="E326">
        <v>38</v>
      </c>
      <c r="F326">
        <v>56</v>
      </c>
      <c r="G326" s="1">
        <v>250</v>
      </c>
      <c r="H326" s="1">
        <v>248</v>
      </c>
      <c r="I326" s="1">
        <v>496</v>
      </c>
      <c r="J326" s="1">
        <v>2000</v>
      </c>
    </row>
    <row r="327" spans="1:10" x14ac:dyDescent="0.3">
      <c r="A327" t="s">
        <v>195</v>
      </c>
      <c r="B327" t="s">
        <v>3</v>
      </c>
      <c r="C327" t="s">
        <v>214</v>
      </c>
      <c r="D327" t="s">
        <v>216</v>
      </c>
      <c r="E327">
        <v>38</v>
      </c>
      <c r="F327">
        <v>63</v>
      </c>
      <c r="G327" s="1">
        <v>586</v>
      </c>
      <c r="H327" s="1">
        <v>584</v>
      </c>
      <c r="I327" s="1">
        <v>1169</v>
      </c>
      <c r="J327" s="1">
        <v>2000</v>
      </c>
    </row>
    <row r="328" spans="1:10" x14ac:dyDescent="0.3">
      <c r="A328" t="s">
        <v>195</v>
      </c>
      <c r="B328" t="s">
        <v>3</v>
      </c>
      <c r="C328" t="s">
        <v>214</v>
      </c>
      <c r="D328" t="s">
        <v>215</v>
      </c>
      <c r="E328">
        <v>38</v>
      </c>
      <c r="F328">
        <v>70</v>
      </c>
      <c r="G328" s="1">
        <v>1500</v>
      </c>
      <c r="H328" s="1">
        <v>1495</v>
      </c>
      <c r="I328" s="1">
        <v>2990</v>
      </c>
      <c r="J328" s="1">
        <v>2000</v>
      </c>
    </row>
    <row r="329" spans="1:10" x14ac:dyDescent="0.3">
      <c r="A329" t="s">
        <v>195</v>
      </c>
      <c r="B329" t="s">
        <v>3</v>
      </c>
      <c r="C329" t="s">
        <v>214</v>
      </c>
      <c r="D329" t="s">
        <v>213</v>
      </c>
      <c r="E329">
        <v>38</v>
      </c>
      <c r="F329">
        <v>105</v>
      </c>
      <c r="G329" s="1">
        <v>200</v>
      </c>
      <c r="H329" s="1">
        <v>200</v>
      </c>
      <c r="I329" s="1">
        <v>400</v>
      </c>
      <c r="J329" s="1">
        <v>2000</v>
      </c>
    </row>
    <row r="330" spans="1:10" x14ac:dyDescent="0.3">
      <c r="A330" t="s">
        <v>194</v>
      </c>
      <c r="B330" t="s">
        <v>3</v>
      </c>
      <c r="C330" t="s">
        <v>214</v>
      </c>
      <c r="D330" t="s">
        <v>221</v>
      </c>
      <c r="E330">
        <v>38</v>
      </c>
      <c r="F330">
        <v>21</v>
      </c>
      <c r="G330" s="1">
        <v>288</v>
      </c>
      <c r="H330" s="1">
        <v>284</v>
      </c>
      <c r="I330" s="1">
        <v>568</v>
      </c>
      <c r="J330" s="1">
        <v>2000</v>
      </c>
    </row>
    <row r="331" spans="1:10" x14ac:dyDescent="0.3">
      <c r="A331" t="s">
        <v>194</v>
      </c>
      <c r="B331" t="s">
        <v>3</v>
      </c>
      <c r="C331" t="s">
        <v>214</v>
      </c>
      <c r="D331" t="s">
        <v>220</v>
      </c>
      <c r="E331">
        <v>38</v>
      </c>
      <c r="F331">
        <v>14</v>
      </c>
      <c r="G331" s="1">
        <v>1466</v>
      </c>
      <c r="H331" s="1">
        <v>1444</v>
      </c>
      <c r="I331" s="1">
        <v>2888</v>
      </c>
      <c r="J331" s="1">
        <v>2000</v>
      </c>
    </row>
    <row r="332" spans="1:10" x14ac:dyDescent="0.3">
      <c r="A332" t="s">
        <v>194</v>
      </c>
      <c r="B332" t="s">
        <v>3</v>
      </c>
      <c r="C332" t="s">
        <v>214</v>
      </c>
      <c r="D332" t="s">
        <v>219</v>
      </c>
      <c r="E332">
        <v>38</v>
      </c>
      <c r="F332">
        <v>35</v>
      </c>
      <c r="G332" s="1">
        <v>1188</v>
      </c>
      <c r="H332" s="1">
        <v>1175</v>
      </c>
      <c r="I332" s="1">
        <v>2350</v>
      </c>
      <c r="J332" s="1">
        <v>2000</v>
      </c>
    </row>
    <row r="333" spans="1:10" x14ac:dyDescent="0.3">
      <c r="A333" t="s">
        <v>194</v>
      </c>
      <c r="B333" t="s">
        <v>3</v>
      </c>
      <c r="C333" t="s">
        <v>214</v>
      </c>
      <c r="D333" t="s">
        <v>218</v>
      </c>
      <c r="E333">
        <v>38</v>
      </c>
      <c r="F333">
        <v>42</v>
      </c>
      <c r="G333" s="1">
        <v>240</v>
      </c>
      <c r="H333" s="1">
        <v>235</v>
      </c>
      <c r="I333" s="1">
        <v>470</v>
      </c>
      <c r="J333" s="1">
        <v>2000</v>
      </c>
    </row>
    <row r="334" spans="1:10" x14ac:dyDescent="0.3">
      <c r="A334" t="s">
        <v>194</v>
      </c>
      <c r="B334" t="s">
        <v>3</v>
      </c>
      <c r="C334" t="s">
        <v>214</v>
      </c>
      <c r="D334" t="s">
        <v>217</v>
      </c>
      <c r="E334">
        <v>38</v>
      </c>
      <c r="F334">
        <v>56</v>
      </c>
      <c r="G334" s="1">
        <v>550</v>
      </c>
      <c r="H334" s="1">
        <v>546</v>
      </c>
      <c r="I334" s="1">
        <v>1092</v>
      </c>
      <c r="J334" s="1">
        <v>2000</v>
      </c>
    </row>
    <row r="335" spans="1:10" x14ac:dyDescent="0.3">
      <c r="A335" t="s">
        <v>194</v>
      </c>
      <c r="B335" t="s">
        <v>3</v>
      </c>
      <c r="C335" t="s">
        <v>214</v>
      </c>
      <c r="D335" t="s">
        <v>216</v>
      </c>
      <c r="E335">
        <v>38</v>
      </c>
      <c r="F335">
        <v>63</v>
      </c>
      <c r="G335" s="1">
        <v>1127</v>
      </c>
      <c r="H335" s="1">
        <v>1123</v>
      </c>
      <c r="I335" s="1">
        <v>2247</v>
      </c>
      <c r="J335" s="1">
        <v>2000</v>
      </c>
    </row>
    <row r="336" spans="1:10" x14ac:dyDescent="0.3">
      <c r="A336" t="s">
        <v>194</v>
      </c>
      <c r="B336" t="s">
        <v>3</v>
      </c>
      <c r="C336" t="s">
        <v>214</v>
      </c>
      <c r="D336" t="s">
        <v>215</v>
      </c>
      <c r="E336">
        <v>38</v>
      </c>
      <c r="F336">
        <v>70</v>
      </c>
      <c r="G336" s="1">
        <v>1700</v>
      </c>
      <c r="H336" s="1">
        <v>1693</v>
      </c>
      <c r="I336" s="1">
        <v>3386</v>
      </c>
      <c r="J336" s="1">
        <v>2000</v>
      </c>
    </row>
    <row r="337" spans="1:10" x14ac:dyDescent="0.3">
      <c r="A337" t="s">
        <v>194</v>
      </c>
      <c r="B337" t="s">
        <v>3</v>
      </c>
      <c r="C337" t="s">
        <v>214</v>
      </c>
      <c r="D337" t="s">
        <v>213</v>
      </c>
      <c r="E337">
        <v>38</v>
      </c>
      <c r="F337">
        <v>105</v>
      </c>
      <c r="G337" s="1">
        <v>700</v>
      </c>
      <c r="H337" s="1">
        <v>698</v>
      </c>
      <c r="I337" s="1">
        <v>1395</v>
      </c>
      <c r="J337" s="1">
        <v>2000</v>
      </c>
    </row>
    <row r="338" spans="1:10" x14ac:dyDescent="0.3">
      <c r="A338" t="s">
        <v>117</v>
      </c>
      <c r="B338" t="s">
        <v>3</v>
      </c>
      <c r="C338" t="s">
        <v>214</v>
      </c>
      <c r="D338" t="s">
        <v>221</v>
      </c>
      <c r="E338">
        <v>38</v>
      </c>
      <c r="F338">
        <v>21</v>
      </c>
      <c r="G338" s="1">
        <v>42</v>
      </c>
      <c r="H338" s="1">
        <v>37</v>
      </c>
      <c r="I338" s="1">
        <v>133</v>
      </c>
      <c r="J338" s="1">
        <v>3595</v>
      </c>
    </row>
    <row r="339" spans="1:10" x14ac:dyDescent="0.3">
      <c r="A339" t="s">
        <v>117</v>
      </c>
      <c r="B339" t="s">
        <v>3</v>
      </c>
      <c r="C339" t="s">
        <v>214</v>
      </c>
      <c r="D339" t="s">
        <v>220</v>
      </c>
      <c r="E339">
        <v>38</v>
      </c>
      <c r="F339">
        <v>14</v>
      </c>
      <c r="G339" s="1">
        <v>210</v>
      </c>
      <c r="H339" s="1">
        <v>200</v>
      </c>
      <c r="I339" s="1">
        <v>720</v>
      </c>
      <c r="J339" s="1">
        <v>3600</v>
      </c>
    </row>
    <row r="340" spans="1:10" x14ac:dyDescent="0.3">
      <c r="A340" t="s">
        <v>117</v>
      </c>
      <c r="B340" t="s">
        <v>3</v>
      </c>
      <c r="C340" t="s">
        <v>214</v>
      </c>
      <c r="D340" t="s">
        <v>216</v>
      </c>
      <c r="E340">
        <v>38</v>
      </c>
      <c r="F340">
        <v>63</v>
      </c>
      <c r="G340" s="1">
        <v>1600</v>
      </c>
      <c r="H340" s="1">
        <v>1520</v>
      </c>
      <c r="I340" s="1">
        <v>5472</v>
      </c>
      <c r="J340" s="1">
        <v>3600</v>
      </c>
    </row>
    <row r="341" spans="1:10" x14ac:dyDescent="0.3">
      <c r="A341" t="s">
        <v>117</v>
      </c>
      <c r="B341" t="s">
        <v>3</v>
      </c>
      <c r="C341" t="s">
        <v>214</v>
      </c>
      <c r="D341" t="s">
        <v>215</v>
      </c>
      <c r="E341">
        <v>38</v>
      </c>
      <c r="F341">
        <v>70</v>
      </c>
      <c r="G341" s="1">
        <v>400</v>
      </c>
      <c r="H341" s="1">
        <v>380</v>
      </c>
      <c r="I341" s="1">
        <v>1368</v>
      </c>
      <c r="J341" s="1">
        <v>3600</v>
      </c>
    </row>
    <row r="342" spans="1:10" x14ac:dyDescent="0.3">
      <c r="A342" t="s">
        <v>19</v>
      </c>
      <c r="B342" t="s">
        <v>3</v>
      </c>
      <c r="C342" t="s">
        <v>214</v>
      </c>
      <c r="D342" t="s">
        <v>220</v>
      </c>
      <c r="E342">
        <v>38</v>
      </c>
      <c r="F342">
        <v>14</v>
      </c>
      <c r="G342" s="1">
        <v>285</v>
      </c>
      <c r="H342" s="1">
        <v>280</v>
      </c>
      <c r="I342" s="1">
        <v>420</v>
      </c>
      <c r="J342" s="1">
        <v>1500</v>
      </c>
    </row>
    <row r="343" spans="1:10" x14ac:dyDescent="0.3">
      <c r="A343" t="s">
        <v>19</v>
      </c>
      <c r="B343" t="s">
        <v>3</v>
      </c>
      <c r="C343" t="s">
        <v>214</v>
      </c>
      <c r="D343" t="s">
        <v>219</v>
      </c>
      <c r="E343">
        <v>38</v>
      </c>
      <c r="F343">
        <v>35</v>
      </c>
      <c r="G343" s="1">
        <v>200</v>
      </c>
      <c r="H343" s="1">
        <v>200</v>
      </c>
      <c r="I343" s="1">
        <v>300</v>
      </c>
      <c r="J343" s="1">
        <v>1500</v>
      </c>
    </row>
    <row r="344" spans="1:10" x14ac:dyDescent="0.3">
      <c r="A344" t="s">
        <v>19</v>
      </c>
      <c r="B344" t="s">
        <v>3</v>
      </c>
      <c r="C344" t="s">
        <v>214</v>
      </c>
      <c r="D344" t="s">
        <v>218</v>
      </c>
      <c r="E344">
        <v>38</v>
      </c>
      <c r="F344">
        <v>42</v>
      </c>
      <c r="G344" s="1">
        <v>100</v>
      </c>
      <c r="H344" s="1">
        <v>100</v>
      </c>
      <c r="I344" s="1">
        <v>150</v>
      </c>
      <c r="J344" s="1">
        <v>1500</v>
      </c>
    </row>
    <row r="345" spans="1:10" x14ac:dyDescent="0.3">
      <c r="A345" t="s">
        <v>19</v>
      </c>
      <c r="B345" t="s">
        <v>3</v>
      </c>
      <c r="C345" t="s">
        <v>214</v>
      </c>
      <c r="D345" t="s">
        <v>217</v>
      </c>
      <c r="E345">
        <v>38</v>
      </c>
      <c r="F345">
        <v>56</v>
      </c>
      <c r="G345" s="1">
        <v>250</v>
      </c>
      <c r="H345" s="1">
        <v>250</v>
      </c>
      <c r="I345" s="1">
        <v>375</v>
      </c>
      <c r="J345" s="1">
        <v>1500</v>
      </c>
    </row>
    <row r="346" spans="1:10" x14ac:dyDescent="0.3">
      <c r="A346" t="s">
        <v>19</v>
      </c>
      <c r="B346" t="s">
        <v>3</v>
      </c>
      <c r="C346" t="s">
        <v>214</v>
      </c>
      <c r="D346" t="s">
        <v>216</v>
      </c>
      <c r="E346">
        <v>38</v>
      </c>
      <c r="F346">
        <v>63</v>
      </c>
      <c r="G346" s="1">
        <v>310</v>
      </c>
      <c r="H346" s="1">
        <v>304</v>
      </c>
      <c r="I346" s="1">
        <v>456</v>
      </c>
      <c r="J346" s="1">
        <v>1500</v>
      </c>
    </row>
    <row r="347" spans="1:10" x14ac:dyDescent="0.3">
      <c r="A347" t="s">
        <v>19</v>
      </c>
      <c r="B347" t="s">
        <v>3</v>
      </c>
      <c r="C347" t="s">
        <v>214</v>
      </c>
      <c r="D347" t="s">
        <v>215</v>
      </c>
      <c r="E347">
        <v>38</v>
      </c>
      <c r="F347">
        <v>70</v>
      </c>
      <c r="G347" s="1">
        <v>1200</v>
      </c>
      <c r="H347" s="1">
        <v>1140</v>
      </c>
      <c r="I347" s="1">
        <v>1710</v>
      </c>
      <c r="J347" s="1">
        <v>1500</v>
      </c>
    </row>
    <row r="348" spans="1:10" x14ac:dyDescent="0.3">
      <c r="A348" t="s">
        <v>19</v>
      </c>
      <c r="B348" t="s">
        <v>3</v>
      </c>
      <c r="C348" t="s">
        <v>214</v>
      </c>
      <c r="D348" t="s">
        <v>213</v>
      </c>
      <c r="E348">
        <v>38</v>
      </c>
      <c r="F348">
        <v>105</v>
      </c>
      <c r="G348" s="1">
        <v>600</v>
      </c>
      <c r="H348" s="1">
        <v>570</v>
      </c>
      <c r="I348" s="1">
        <v>741</v>
      </c>
      <c r="J348" s="1">
        <v>1300</v>
      </c>
    </row>
    <row r="349" spans="1:10" x14ac:dyDescent="0.3">
      <c r="A349" t="s">
        <v>121</v>
      </c>
      <c r="B349" t="s">
        <v>3</v>
      </c>
      <c r="C349" t="s">
        <v>208</v>
      </c>
      <c r="D349" t="s">
        <v>210</v>
      </c>
      <c r="E349">
        <v>10</v>
      </c>
      <c r="F349">
        <v>42</v>
      </c>
      <c r="G349" s="1">
        <v>400</v>
      </c>
      <c r="H349" s="1">
        <v>400</v>
      </c>
      <c r="I349" s="1">
        <v>1080</v>
      </c>
      <c r="J349" s="1">
        <v>2700</v>
      </c>
    </row>
    <row r="350" spans="1:10" x14ac:dyDescent="0.3">
      <c r="A350" t="s">
        <v>11</v>
      </c>
      <c r="B350" t="s">
        <v>3</v>
      </c>
      <c r="C350" t="s">
        <v>208</v>
      </c>
      <c r="D350" t="s">
        <v>207</v>
      </c>
      <c r="E350">
        <v>10</v>
      </c>
      <c r="F350">
        <v>98</v>
      </c>
      <c r="G350" s="1">
        <v>300</v>
      </c>
      <c r="H350" s="1">
        <v>280</v>
      </c>
      <c r="I350" s="1">
        <v>336</v>
      </c>
      <c r="J350" s="1">
        <v>1200</v>
      </c>
    </row>
    <row r="351" spans="1:10" x14ac:dyDescent="0.3">
      <c r="A351" t="s">
        <v>10</v>
      </c>
      <c r="B351" t="s">
        <v>3</v>
      </c>
      <c r="C351" t="s">
        <v>208</v>
      </c>
      <c r="D351" t="s">
        <v>207</v>
      </c>
      <c r="E351">
        <v>10</v>
      </c>
      <c r="F351">
        <v>98</v>
      </c>
      <c r="G351" s="1">
        <v>250</v>
      </c>
      <c r="H351" s="1">
        <v>235</v>
      </c>
      <c r="I351" s="1">
        <v>259</v>
      </c>
      <c r="J351" s="1">
        <v>1100</v>
      </c>
    </row>
    <row r="352" spans="1:10" x14ac:dyDescent="0.3">
      <c r="A352" t="s">
        <v>1</v>
      </c>
      <c r="B352" t="s">
        <v>3</v>
      </c>
      <c r="C352" t="s">
        <v>208</v>
      </c>
      <c r="D352" t="s">
        <v>209</v>
      </c>
      <c r="E352">
        <v>10</v>
      </c>
      <c r="F352">
        <v>56</v>
      </c>
      <c r="G352" s="1">
        <v>570</v>
      </c>
      <c r="H352" s="1">
        <v>570</v>
      </c>
      <c r="I352" s="1">
        <v>570</v>
      </c>
      <c r="J352" s="1">
        <v>1000</v>
      </c>
    </row>
    <row r="353" spans="1:10" x14ac:dyDescent="0.3">
      <c r="A353" t="s">
        <v>1</v>
      </c>
      <c r="B353" t="s">
        <v>3</v>
      </c>
      <c r="C353" t="s">
        <v>208</v>
      </c>
      <c r="D353" t="s">
        <v>212</v>
      </c>
      <c r="E353">
        <v>10</v>
      </c>
      <c r="F353">
        <v>70</v>
      </c>
      <c r="G353" s="1">
        <v>320</v>
      </c>
      <c r="H353" s="1">
        <v>320</v>
      </c>
      <c r="I353" s="1">
        <v>320</v>
      </c>
      <c r="J353" s="1">
        <v>1000</v>
      </c>
    </row>
    <row r="354" spans="1:10" x14ac:dyDescent="0.3">
      <c r="A354" t="s">
        <v>1</v>
      </c>
      <c r="B354" t="s">
        <v>3</v>
      </c>
      <c r="C354" t="s">
        <v>208</v>
      </c>
      <c r="D354" t="s">
        <v>207</v>
      </c>
      <c r="E354">
        <v>10</v>
      </c>
      <c r="F354">
        <v>98</v>
      </c>
      <c r="G354" s="1">
        <v>1600</v>
      </c>
      <c r="H354" s="1">
        <v>1488</v>
      </c>
      <c r="I354" s="1">
        <v>1488</v>
      </c>
      <c r="J354" s="1">
        <v>1000</v>
      </c>
    </row>
    <row r="355" spans="1:10" x14ac:dyDescent="0.3">
      <c r="A355" t="s">
        <v>1</v>
      </c>
      <c r="B355" t="s">
        <v>3</v>
      </c>
      <c r="C355" t="s">
        <v>208</v>
      </c>
      <c r="D355" t="s">
        <v>211</v>
      </c>
      <c r="E355">
        <v>10</v>
      </c>
      <c r="F355">
        <v>112</v>
      </c>
      <c r="G355" s="1">
        <v>580</v>
      </c>
      <c r="H355" s="1">
        <v>580</v>
      </c>
      <c r="I355" s="1">
        <v>580</v>
      </c>
      <c r="J355" s="1">
        <v>1000</v>
      </c>
    </row>
    <row r="356" spans="1:10" x14ac:dyDescent="0.3">
      <c r="A356" t="s">
        <v>120</v>
      </c>
      <c r="B356" t="s">
        <v>3</v>
      </c>
      <c r="C356" t="s">
        <v>208</v>
      </c>
      <c r="D356" t="s">
        <v>207</v>
      </c>
      <c r="E356">
        <v>10</v>
      </c>
      <c r="F356">
        <v>98</v>
      </c>
      <c r="G356" s="1">
        <v>100</v>
      </c>
      <c r="H356" s="1">
        <v>100</v>
      </c>
      <c r="I356" s="1">
        <v>250</v>
      </c>
      <c r="J356" s="1">
        <v>2500</v>
      </c>
    </row>
    <row r="357" spans="1:10" x14ac:dyDescent="0.3">
      <c r="A357" t="s">
        <v>119</v>
      </c>
      <c r="B357" t="s">
        <v>3</v>
      </c>
      <c r="C357" t="s">
        <v>208</v>
      </c>
      <c r="D357" t="s">
        <v>210</v>
      </c>
      <c r="E357">
        <v>10</v>
      </c>
      <c r="F357">
        <v>42</v>
      </c>
      <c r="G357" s="1">
        <v>50</v>
      </c>
      <c r="H357" s="1">
        <v>40</v>
      </c>
      <c r="I357" s="1">
        <v>100</v>
      </c>
      <c r="J357" s="1">
        <v>2500</v>
      </c>
    </row>
    <row r="358" spans="1:10" x14ac:dyDescent="0.3">
      <c r="A358" t="s">
        <v>119</v>
      </c>
      <c r="B358" t="s">
        <v>3</v>
      </c>
      <c r="C358" t="s">
        <v>208</v>
      </c>
      <c r="D358" t="s">
        <v>209</v>
      </c>
      <c r="E358">
        <v>10</v>
      </c>
      <c r="F358">
        <v>56</v>
      </c>
      <c r="G358" s="1">
        <v>400</v>
      </c>
      <c r="H358" s="1">
        <v>260</v>
      </c>
      <c r="I358" s="1">
        <v>988</v>
      </c>
      <c r="J358" s="1">
        <v>3800</v>
      </c>
    </row>
    <row r="359" spans="1:10" x14ac:dyDescent="0.3">
      <c r="A359" t="s">
        <v>119</v>
      </c>
      <c r="B359" t="s">
        <v>3</v>
      </c>
      <c r="C359" t="s">
        <v>208</v>
      </c>
      <c r="D359" t="s">
        <v>207</v>
      </c>
      <c r="E359">
        <v>10</v>
      </c>
      <c r="F359">
        <v>98</v>
      </c>
      <c r="G359" s="1">
        <v>8000</v>
      </c>
      <c r="H359" s="1">
        <v>7180</v>
      </c>
      <c r="I359" s="1">
        <v>35900</v>
      </c>
      <c r="J359" s="1">
        <v>5000</v>
      </c>
    </row>
    <row r="360" spans="1:10" x14ac:dyDescent="0.3">
      <c r="A360" t="s">
        <v>201</v>
      </c>
      <c r="B360" t="s">
        <v>3</v>
      </c>
      <c r="C360" t="s">
        <v>208</v>
      </c>
      <c r="D360" t="s">
        <v>207</v>
      </c>
      <c r="E360">
        <v>10</v>
      </c>
      <c r="F360">
        <v>98</v>
      </c>
      <c r="G360" s="1">
        <v>1200</v>
      </c>
      <c r="H360" s="1">
        <v>1200</v>
      </c>
      <c r="I360" s="1">
        <v>2280</v>
      </c>
      <c r="J360" s="1">
        <v>1900</v>
      </c>
    </row>
    <row r="361" spans="1:10" x14ac:dyDescent="0.3">
      <c r="A361" t="s">
        <v>199</v>
      </c>
      <c r="B361" t="s">
        <v>3</v>
      </c>
      <c r="C361" t="s">
        <v>208</v>
      </c>
      <c r="D361" t="s">
        <v>210</v>
      </c>
      <c r="E361">
        <v>10</v>
      </c>
      <c r="F361">
        <v>42</v>
      </c>
      <c r="G361" s="1">
        <v>150</v>
      </c>
      <c r="H361" s="1">
        <v>100</v>
      </c>
      <c r="I361" s="1">
        <v>60</v>
      </c>
      <c r="J361" s="1">
        <v>600</v>
      </c>
    </row>
    <row r="362" spans="1:10" x14ac:dyDescent="0.3">
      <c r="A362" t="s">
        <v>199</v>
      </c>
      <c r="B362" t="s">
        <v>3</v>
      </c>
      <c r="C362" t="s">
        <v>208</v>
      </c>
      <c r="D362" t="s">
        <v>209</v>
      </c>
      <c r="E362">
        <v>10</v>
      </c>
      <c r="F362">
        <v>56</v>
      </c>
      <c r="G362" s="1">
        <v>1000</v>
      </c>
      <c r="H362" s="1">
        <v>850</v>
      </c>
      <c r="I362" s="1">
        <v>510</v>
      </c>
      <c r="J362" s="1">
        <v>600</v>
      </c>
    </row>
    <row r="363" spans="1:10" x14ac:dyDescent="0.3">
      <c r="A363" t="s">
        <v>199</v>
      </c>
      <c r="B363" t="s">
        <v>3</v>
      </c>
      <c r="C363" t="s">
        <v>208</v>
      </c>
      <c r="D363" t="s">
        <v>207</v>
      </c>
      <c r="E363">
        <v>10</v>
      </c>
      <c r="F363">
        <v>98</v>
      </c>
      <c r="G363" s="1">
        <v>3700</v>
      </c>
      <c r="H363" s="1">
        <v>3360</v>
      </c>
      <c r="I363" s="1">
        <v>2016</v>
      </c>
      <c r="J363" s="1">
        <v>600</v>
      </c>
    </row>
    <row r="364" spans="1:10" x14ac:dyDescent="0.3">
      <c r="A364" t="s">
        <v>200</v>
      </c>
      <c r="B364" t="s">
        <v>3</v>
      </c>
      <c r="C364" t="s">
        <v>208</v>
      </c>
      <c r="D364" t="s">
        <v>210</v>
      </c>
      <c r="E364">
        <v>10</v>
      </c>
      <c r="F364">
        <v>42</v>
      </c>
      <c r="G364" s="1">
        <v>150</v>
      </c>
      <c r="H364" s="1">
        <v>100</v>
      </c>
      <c r="I364" s="1">
        <v>60</v>
      </c>
      <c r="J364" s="1">
        <v>600</v>
      </c>
    </row>
    <row r="365" spans="1:10" x14ac:dyDescent="0.3">
      <c r="A365" t="s">
        <v>200</v>
      </c>
      <c r="B365" t="s">
        <v>3</v>
      </c>
      <c r="C365" t="s">
        <v>208</v>
      </c>
      <c r="D365" t="s">
        <v>209</v>
      </c>
      <c r="E365">
        <v>10</v>
      </c>
      <c r="F365">
        <v>56</v>
      </c>
      <c r="G365" s="1">
        <v>1000</v>
      </c>
      <c r="H365" s="1">
        <v>850</v>
      </c>
      <c r="I365" s="1">
        <v>510</v>
      </c>
      <c r="J365" s="1">
        <v>600</v>
      </c>
    </row>
    <row r="366" spans="1:10" x14ac:dyDescent="0.3">
      <c r="A366" t="s">
        <v>200</v>
      </c>
      <c r="B366" t="s">
        <v>3</v>
      </c>
      <c r="C366" t="s">
        <v>208</v>
      </c>
      <c r="D366" t="s">
        <v>207</v>
      </c>
      <c r="E366">
        <v>10</v>
      </c>
      <c r="F366">
        <v>98</v>
      </c>
      <c r="G366" s="1">
        <v>3700</v>
      </c>
      <c r="H366" s="1">
        <v>3360</v>
      </c>
      <c r="I366" s="1">
        <v>2016</v>
      </c>
      <c r="J366" s="1">
        <v>600</v>
      </c>
    </row>
    <row r="367" spans="1:10" x14ac:dyDescent="0.3">
      <c r="A367" t="s">
        <v>197</v>
      </c>
      <c r="B367" t="s">
        <v>3</v>
      </c>
      <c r="C367" t="s">
        <v>208</v>
      </c>
      <c r="D367" t="s">
        <v>210</v>
      </c>
      <c r="E367">
        <v>10</v>
      </c>
      <c r="F367">
        <v>42</v>
      </c>
      <c r="G367" s="1">
        <v>150</v>
      </c>
      <c r="H367" s="1">
        <v>130</v>
      </c>
      <c r="I367" s="1">
        <v>247</v>
      </c>
      <c r="J367" s="1">
        <v>1900</v>
      </c>
    </row>
    <row r="368" spans="1:10" x14ac:dyDescent="0.3">
      <c r="A368" t="s">
        <v>197</v>
      </c>
      <c r="B368" t="s">
        <v>3</v>
      </c>
      <c r="C368" t="s">
        <v>208</v>
      </c>
      <c r="D368" t="s">
        <v>209</v>
      </c>
      <c r="E368">
        <v>10</v>
      </c>
      <c r="F368">
        <v>56</v>
      </c>
      <c r="G368" s="1">
        <v>3300</v>
      </c>
      <c r="H368" s="1">
        <v>3100</v>
      </c>
      <c r="I368" s="1">
        <v>5890</v>
      </c>
      <c r="J368" s="1">
        <v>1900</v>
      </c>
    </row>
    <row r="369" spans="1:10" x14ac:dyDescent="0.3">
      <c r="A369" t="s">
        <v>197</v>
      </c>
      <c r="B369" t="s">
        <v>3</v>
      </c>
      <c r="C369" t="s">
        <v>208</v>
      </c>
      <c r="D369" t="s">
        <v>207</v>
      </c>
      <c r="E369">
        <v>10</v>
      </c>
      <c r="F369">
        <v>98</v>
      </c>
      <c r="G369" s="1">
        <v>18000</v>
      </c>
      <c r="H369" s="1">
        <v>17790</v>
      </c>
      <c r="I369" s="1">
        <v>46254</v>
      </c>
      <c r="J369" s="1">
        <v>2600</v>
      </c>
    </row>
    <row r="370" spans="1:10" x14ac:dyDescent="0.3">
      <c r="A370" t="s">
        <v>195</v>
      </c>
      <c r="B370" t="s">
        <v>3</v>
      </c>
      <c r="C370" t="s">
        <v>208</v>
      </c>
      <c r="D370" t="s">
        <v>207</v>
      </c>
      <c r="E370">
        <v>10</v>
      </c>
      <c r="F370">
        <v>98</v>
      </c>
      <c r="G370" s="1">
        <v>20000</v>
      </c>
      <c r="H370" s="1">
        <v>19750</v>
      </c>
      <c r="I370" s="1">
        <v>49375</v>
      </c>
      <c r="J370" s="1">
        <v>2500</v>
      </c>
    </row>
    <row r="371" spans="1:10" x14ac:dyDescent="0.3">
      <c r="A371" t="s">
        <v>194</v>
      </c>
      <c r="B371" t="s">
        <v>3</v>
      </c>
      <c r="C371" t="s">
        <v>208</v>
      </c>
      <c r="D371" t="s">
        <v>210</v>
      </c>
      <c r="E371">
        <v>10</v>
      </c>
      <c r="F371">
        <v>42</v>
      </c>
      <c r="G371" s="1">
        <v>150</v>
      </c>
      <c r="H371" s="1">
        <v>130</v>
      </c>
      <c r="I371" s="1">
        <v>247</v>
      </c>
      <c r="J371" s="1">
        <v>1900</v>
      </c>
    </row>
    <row r="372" spans="1:10" x14ac:dyDescent="0.3">
      <c r="A372" t="s">
        <v>194</v>
      </c>
      <c r="B372" t="s">
        <v>3</v>
      </c>
      <c r="C372" t="s">
        <v>208</v>
      </c>
      <c r="D372" t="s">
        <v>209</v>
      </c>
      <c r="E372">
        <v>10</v>
      </c>
      <c r="F372">
        <v>56</v>
      </c>
      <c r="G372" s="1">
        <v>3300</v>
      </c>
      <c r="H372" s="1">
        <v>3100</v>
      </c>
      <c r="I372" s="1">
        <v>5890</v>
      </c>
      <c r="J372" s="1">
        <v>1900</v>
      </c>
    </row>
    <row r="373" spans="1:10" x14ac:dyDescent="0.3">
      <c r="A373" t="s">
        <v>194</v>
      </c>
      <c r="B373" t="s">
        <v>3</v>
      </c>
      <c r="C373" t="s">
        <v>208</v>
      </c>
      <c r="D373" t="s">
        <v>207</v>
      </c>
      <c r="E373">
        <v>10</v>
      </c>
      <c r="F373">
        <v>98</v>
      </c>
      <c r="G373" s="1">
        <v>38000</v>
      </c>
      <c r="H373" s="1">
        <v>37540</v>
      </c>
      <c r="I373" s="1">
        <v>95629</v>
      </c>
      <c r="J373" s="1">
        <v>2547</v>
      </c>
    </row>
    <row r="374" spans="1:10" x14ac:dyDescent="0.3">
      <c r="A374" t="s">
        <v>117</v>
      </c>
      <c r="B374" t="s">
        <v>3</v>
      </c>
      <c r="C374" t="s">
        <v>208</v>
      </c>
      <c r="D374" t="s">
        <v>209</v>
      </c>
      <c r="E374">
        <v>10</v>
      </c>
      <c r="F374">
        <v>56</v>
      </c>
      <c r="G374" s="1">
        <v>580</v>
      </c>
      <c r="H374" s="1">
        <v>460</v>
      </c>
      <c r="I374" s="1">
        <v>920</v>
      </c>
      <c r="J374" s="1">
        <v>2000</v>
      </c>
    </row>
    <row r="375" spans="1:10" x14ac:dyDescent="0.3">
      <c r="A375" t="s">
        <v>117</v>
      </c>
      <c r="B375" t="s">
        <v>3</v>
      </c>
      <c r="C375" t="s">
        <v>208</v>
      </c>
      <c r="D375" t="s">
        <v>207</v>
      </c>
      <c r="E375">
        <v>10</v>
      </c>
      <c r="F375">
        <v>98</v>
      </c>
      <c r="G375" s="1">
        <v>1900</v>
      </c>
      <c r="H375" s="1">
        <v>1590</v>
      </c>
      <c r="I375" s="1">
        <v>3975</v>
      </c>
      <c r="J375" s="1">
        <v>2500</v>
      </c>
    </row>
    <row r="376" spans="1:10" x14ac:dyDescent="0.3">
      <c r="A376" t="s">
        <v>21</v>
      </c>
      <c r="B376" t="s">
        <v>3</v>
      </c>
      <c r="C376" t="s">
        <v>208</v>
      </c>
      <c r="D376" t="s">
        <v>207</v>
      </c>
      <c r="E376">
        <v>10</v>
      </c>
      <c r="F376">
        <v>98</v>
      </c>
      <c r="G376" s="1">
        <v>300</v>
      </c>
      <c r="H376" s="1">
        <v>270</v>
      </c>
      <c r="I376" s="1">
        <v>297</v>
      </c>
      <c r="J376" s="1">
        <v>1100</v>
      </c>
    </row>
    <row r="377" spans="1:10" x14ac:dyDescent="0.3">
      <c r="A377" t="s">
        <v>19</v>
      </c>
      <c r="B377" t="s">
        <v>3</v>
      </c>
      <c r="C377" t="s">
        <v>208</v>
      </c>
      <c r="D377" t="s">
        <v>209</v>
      </c>
      <c r="E377">
        <v>10</v>
      </c>
      <c r="F377">
        <v>56</v>
      </c>
      <c r="G377" s="1">
        <v>100</v>
      </c>
      <c r="H377" s="1">
        <v>70</v>
      </c>
      <c r="I377" s="1">
        <v>56</v>
      </c>
      <c r="J377" s="1">
        <v>800</v>
      </c>
    </row>
    <row r="378" spans="1:10" x14ac:dyDescent="0.3">
      <c r="A378" t="s">
        <v>19</v>
      </c>
      <c r="B378" t="s">
        <v>3</v>
      </c>
      <c r="C378" t="s">
        <v>208</v>
      </c>
      <c r="D378" t="s">
        <v>207</v>
      </c>
      <c r="E378">
        <v>10</v>
      </c>
      <c r="F378">
        <v>98</v>
      </c>
      <c r="G378" s="1">
        <v>20300</v>
      </c>
      <c r="H378" s="1">
        <v>19620</v>
      </c>
      <c r="I378" s="1">
        <v>19647</v>
      </c>
      <c r="J378" s="1">
        <v>1001</v>
      </c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 activeCell="J18" sqref="J18"/>
    </sheetView>
  </sheetViews>
  <sheetFormatPr baseColWidth="10" defaultRowHeight="14.4" x14ac:dyDescent="0.3"/>
  <cols>
    <col min="1" max="1" width="15.5546875" bestFit="1" customWidth="1"/>
    <col min="2" max="2" width="11.21875" bestFit="1" customWidth="1"/>
    <col min="3" max="3" width="8.88671875" bestFit="1" customWidth="1"/>
    <col min="4" max="4" width="16" bestFit="1" customWidth="1"/>
    <col min="5" max="5" width="16.5546875" bestFit="1" customWidth="1"/>
    <col min="6" max="6" width="12.77734375" bestFit="1" customWidth="1"/>
    <col min="7" max="7" width="14" bestFit="1" customWidth="1"/>
  </cols>
  <sheetData>
    <row r="1" spans="1:7" s="11" customFormat="1" x14ac:dyDescent="0.3">
      <c r="A1" s="11" t="s">
        <v>206</v>
      </c>
      <c r="B1" s="11" t="s">
        <v>128</v>
      </c>
      <c r="C1" s="11" t="s">
        <v>262</v>
      </c>
      <c r="D1" s="11" t="s">
        <v>189</v>
      </c>
      <c r="E1" s="11" t="s">
        <v>261</v>
      </c>
      <c r="F1" s="11" t="s">
        <v>187</v>
      </c>
      <c r="G1" s="11" t="s">
        <v>260</v>
      </c>
    </row>
    <row r="2" spans="1:7" x14ac:dyDescent="0.3">
      <c r="A2" t="s">
        <v>121</v>
      </c>
      <c r="B2" t="s">
        <v>3</v>
      </c>
      <c r="C2" t="s">
        <v>257</v>
      </c>
      <c r="D2" s="1">
        <v>687925</v>
      </c>
      <c r="E2" s="1">
        <v>621785</v>
      </c>
      <c r="F2" s="1">
        <v>1099962</v>
      </c>
      <c r="G2" s="1">
        <v>1769</v>
      </c>
    </row>
    <row r="3" spans="1:7" x14ac:dyDescent="0.3">
      <c r="A3" t="s">
        <v>239</v>
      </c>
      <c r="B3" t="s">
        <v>3</v>
      </c>
      <c r="C3" t="s">
        <v>257</v>
      </c>
      <c r="D3" s="1">
        <v>32541</v>
      </c>
      <c r="E3" s="1">
        <v>31721</v>
      </c>
      <c r="F3" s="1">
        <v>40828</v>
      </c>
      <c r="G3" s="1">
        <v>1287</v>
      </c>
    </row>
    <row r="4" spans="1:7" x14ac:dyDescent="0.3">
      <c r="A4" t="s">
        <v>259</v>
      </c>
      <c r="B4" t="s">
        <v>3</v>
      </c>
      <c r="C4" t="s">
        <v>257</v>
      </c>
      <c r="D4" s="1">
        <v>107152</v>
      </c>
      <c r="E4" s="1">
        <v>100525</v>
      </c>
      <c r="F4" s="1">
        <v>257885</v>
      </c>
      <c r="G4" s="1">
        <v>2565</v>
      </c>
    </row>
    <row r="5" spans="1:7" x14ac:dyDescent="0.3">
      <c r="A5" t="s">
        <v>16</v>
      </c>
      <c r="B5" t="s">
        <v>3</v>
      </c>
      <c r="C5" t="s">
        <v>257</v>
      </c>
      <c r="D5" s="1">
        <v>1432632</v>
      </c>
      <c r="E5" s="1">
        <v>296648</v>
      </c>
      <c r="F5" s="1">
        <v>556054</v>
      </c>
      <c r="G5" s="1">
        <v>1874</v>
      </c>
    </row>
    <row r="6" spans="1:7" x14ac:dyDescent="0.3">
      <c r="A6" t="s">
        <v>15</v>
      </c>
      <c r="B6" t="s">
        <v>3</v>
      </c>
      <c r="C6" t="s">
        <v>257</v>
      </c>
      <c r="D6" s="1">
        <v>18232</v>
      </c>
      <c r="E6" s="1">
        <v>18232</v>
      </c>
      <c r="F6" s="1">
        <v>19109</v>
      </c>
      <c r="G6" s="1">
        <v>1048</v>
      </c>
    </row>
    <row r="7" spans="1:7" x14ac:dyDescent="0.3">
      <c r="A7" t="s">
        <v>13</v>
      </c>
      <c r="B7" t="s">
        <v>3</v>
      </c>
      <c r="C7" t="s">
        <v>257</v>
      </c>
      <c r="D7" s="1">
        <v>1690458</v>
      </c>
      <c r="E7" s="1">
        <v>1314219</v>
      </c>
      <c r="F7" s="1">
        <v>4823506</v>
      </c>
      <c r="G7" s="1">
        <v>3670</v>
      </c>
    </row>
    <row r="8" spans="1:7" x14ac:dyDescent="0.3">
      <c r="A8" t="s">
        <v>11</v>
      </c>
      <c r="B8" t="s">
        <v>3</v>
      </c>
      <c r="C8" t="s">
        <v>257</v>
      </c>
      <c r="D8" s="1">
        <v>957215</v>
      </c>
      <c r="E8" s="1">
        <v>126825</v>
      </c>
      <c r="F8" s="1">
        <v>215368</v>
      </c>
      <c r="G8" s="1">
        <v>1698</v>
      </c>
    </row>
    <row r="9" spans="1:7" x14ac:dyDescent="0.3">
      <c r="A9" t="s">
        <v>10</v>
      </c>
      <c r="B9" t="s">
        <v>3</v>
      </c>
      <c r="C9" t="s">
        <v>257</v>
      </c>
      <c r="D9" s="1">
        <v>35147</v>
      </c>
      <c r="E9" s="1">
        <v>34844</v>
      </c>
      <c r="F9" s="1">
        <v>58379</v>
      </c>
      <c r="G9" s="1">
        <v>1675</v>
      </c>
    </row>
    <row r="10" spans="1:7" x14ac:dyDescent="0.3">
      <c r="A10" t="s">
        <v>1</v>
      </c>
      <c r="B10" t="s">
        <v>3</v>
      </c>
      <c r="C10" t="s">
        <v>257</v>
      </c>
      <c r="D10" s="1">
        <v>151496</v>
      </c>
      <c r="E10" s="1">
        <v>148294</v>
      </c>
      <c r="F10" s="1">
        <v>193637</v>
      </c>
      <c r="G10" s="1">
        <v>1306</v>
      </c>
    </row>
    <row r="11" spans="1:7" x14ac:dyDescent="0.3">
      <c r="A11" t="s">
        <v>120</v>
      </c>
      <c r="B11" t="s">
        <v>3</v>
      </c>
      <c r="C11" t="s">
        <v>257</v>
      </c>
      <c r="D11" s="1">
        <v>2413081</v>
      </c>
      <c r="E11" s="1">
        <v>2397165</v>
      </c>
      <c r="F11" s="1">
        <v>5592450</v>
      </c>
      <c r="G11" s="1">
        <v>2333</v>
      </c>
    </row>
    <row r="12" spans="1:7" x14ac:dyDescent="0.3">
      <c r="A12" t="s">
        <v>202</v>
      </c>
      <c r="B12" t="s">
        <v>3</v>
      </c>
      <c r="C12" t="s">
        <v>257</v>
      </c>
      <c r="D12" s="1">
        <v>31527</v>
      </c>
      <c r="E12" s="1">
        <v>31527</v>
      </c>
      <c r="F12" s="1">
        <v>30821</v>
      </c>
      <c r="G12" s="1">
        <v>978</v>
      </c>
    </row>
    <row r="13" spans="1:7" x14ac:dyDescent="0.3">
      <c r="A13" t="s">
        <v>258</v>
      </c>
      <c r="B13" t="s">
        <v>3</v>
      </c>
      <c r="C13" t="s">
        <v>257</v>
      </c>
      <c r="D13" s="1">
        <v>8935</v>
      </c>
      <c r="E13" s="1">
        <v>8935</v>
      </c>
      <c r="F13" s="1">
        <v>8777</v>
      </c>
      <c r="G13" s="1">
        <v>982</v>
      </c>
    </row>
    <row r="14" spans="1:7" x14ac:dyDescent="0.3">
      <c r="A14" t="s">
        <v>119</v>
      </c>
      <c r="B14" t="s">
        <v>3</v>
      </c>
      <c r="C14" t="s">
        <v>257</v>
      </c>
      <c r="D14" s="1">
        <v>9234043</v>
      </c>
      <c r="E14" s="1">
        <v>7422498</v>
      </c>
      <c r="F14" s="1">
        <v>51690950</v>
      </c>
      <c r="G14" s="1">
        <v>6964</v>
      </c>
    </row>
    <row r="15" spans="1:7" x14ac:dyDescent="0.3">
      <c r="A15" t="s">
        <v>237</v>
      </c>
      <c r="B15" t="s">
        <v>3</v>
      </c>
      <c r="C15" t="s">
        <v>257</v>
      </c>
      <c r="D15" s="1">
        <v>22867</v>
      </c>
      <c r="E15" s="1">
        <v>4804</v>
      </c>
      <c r="F15" s="1">
        <v>6626</v>
      </c>
      <c r="G15" s="1">
        <v>1379</v>
      </c>
    </row>
    <row r="16" spans="1:7" x14ac:dyDescent="0.3">
      <c r="A16" t="s">
        <v>222</v>
      </c>
      <c r="B16" t="s">
        <v>3</v>
      </c>
      <c r="C16" t="s">
        <v>257</v>
      </c>
      <c r="D16" s="1">
        <v>211189</v>
      </c>
      <c r="E16" s="1">
        <v>209079</v>
      </c>
      <c r="F16" s="1">
        <v>235771</v>
      </c>
      <c r="G16" s="1">
        <v>1128</v>
      </c>
    </row>
    <row r="17" spans="1:7" x14ac:dyDescent="0.3">
      <c r="A17" t="s">
        <v>199</v>
      </c>
      <c r="B17" t="s">
        <v>3</v>
      </c>
      <c r="C17" t="s">
        <v>257</v>
      </c>
      <c r="D17" s="1">
        <v>268967</v>
      </c>
      <c r="E17" s="1">
        <v>259190</v>
      </c>
      <c r="F17" s="1">
        <v>369626</v>
      </c>
      <c r="G17" s="1">
        <v>1426</v>
      </c>
    </row>
    <row r="18" spans="1:7" x14ac:dyDescent="0.3">
      <c r="A18" t="s">
        <v>198</v>
      </c>
      <c r="B18" t="s">
        <v>3</v>
      </c>
      <c r="C18" t="s">
        <v>257</v>
      </c>
      <c r="D18" s="1">
        <v>185723</v>
      </c>
      <c r="E18" s="1">
        <v>167014</v>
      </c>
      <c r="F18" s="1">
        <v>204814</v>
      </c>
      <c r="G18" s="1">
        <v>1226</v>
      </c>
    </row>
    <row r="19" spans="1:7" x14ac:dyDescent="0.3">
      <c r="A19" t="s">
        <v>197</v>
      </c>
      <c r="B19" t="s">
        <v>3</v>
      </c>
      <c r="C19" t="s">
        <v>257</v>
      </c>
      <c r="D19" s="1">
        <v>12483086</v>
      </c>
      <c r="E19" s="1">
        <v>12048575</v>
      </c>
      <c r="F19" s="1">
        <v>37204801</v>
      </c>
      <c r="G19" s="1">
        <v>3088</v>
      </c>
    </row>
    <row r="20" spans="1:7" x14ac:dyDescent="0.3">
      <c r="A20" t="s">
        <v>195</v>
      </c>
      <c r="B20" t="s">
        <v>3</v>
      </c>
      <c r="C20" t="s">
        <v>257</v>
      </c>
      <c r="D20" s="1">
        <v>5511879</v>
      </c>
      <c r="E20" s="1">
        <v>5406541</v>
      </c>
      <c r="F20" s="1">
        <v>13903039</v>
      </c>
      <c r="G20" s="1">
        <v>2572</v>
      </c>
    </row>
    <row r="21" spans="1:7" x14ac:dyDescent="0.3">
      <c r="A21" t="s">
        <v>194</v>
      </c>
      <c r="B21" t="s">
        <v>3</v>
      </c>
      <c r="C21" t="s">
        <v>257</v>
      </c>
      <c r="D21" s="1">
        <v>17994965</v>
      </c>
      <c r="E21" s="1">
        <v>17455116</v>
      </c>
      <c r="F21" s="1">
        <v>51107836</v>
      </c>
      <c r="G21" s="1">
        <v>2928</v>
      </c>
    </row>
    <row r="22" spans="1:7" x14ac:dyDescent="0.3">
      <c r="A22" t="s">
        <v>117</v>
      </c>
      <c r="B22" t="s">
        <v>3</v>
      </c>
      <c r="C22" t="s">
        <v>257</v>
      </c>
      <c r="D22" s="1">
        <v>1005799</v>
      </c>
      <c r="E22" s="1">
        <v>708887</v>
      </c>
      <c r="F22" s="1">
        <v>2853150</v>
      </c>
      <c r="G22" s="1">
        <v>4025</v>
      </c>
    </row>
    <row r="23" spans="1:7" x14ac:dyDescent="0.3">
      <c r="A23" t="s">
        <v>21</v>
      </c>
      <c r="B23" t="s">
        <v>3</v>
      </c>
      <c r="C23" t="s">
        <v>257</v>
      </c>
      <c r="D23" s="1">
        <v>127535</v>
      </c>
      <c r="E23" s="1">
        <v>126969</v>
      </c>
      <c r="F23" s="1">
        <v>349958</v>
      </c>
      <c r="G23" s="1">
        <v>2756</v>
      </c>
    </row>
    <row r="24" spans="1:7" x14ac:dyDescent="0.3">
      <c r="A24" t="s">
        <v>19</v>
      </c>
      <c r="B24" t="s">
        <v>3</v>
      </c>
      <c r="C24" t="s">
        <v>257</v>
      </c>
      <c r="D24" s="1">
        <v>6550169</v>
      </c>
      <c r="E24" s="1">
        <v>6341303</v>
      </c>
      <c r="F24" s="1">
        <v>18510280</v>
      </c>
      <c r="G24" s="1">
        <v>2919</v>
      </c>
    </row>
    <row r="25" spans="1:7" x14ac:dyDescent="0.3">
      <c r="D25" s="1"/>
      <c r="E25" s="1"/>
      <c r="F25" s="1"/>
      <c r="G25" s="1"/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4"/>
  <sheetViews>
    <sheetView workbookViewId="0">
      <pane ySplit="1" topLeftCell="A268" activePane="bottomLeft" state="frozen"/>
      <selection pane="bottomLeft" activeCell="G285" sqref="G285"/>
    </sheetView>
  </sheetViews>
  <sheetFormatPr baseColWidth="10" defaultRowHeight="14.4" x14ac:dyDescent="0.3"/>
  <cols>
    <col min="1" max="1" width="8.77734375" bestFit="1" customWidth="1"/>
    <col min="2" max="2" width="9" style="2" bestFit="1" customWidth="1"/>
    <col min="3" max="3" width="17.21875" bestFit="1" customWidth="1"/>
    <col min="4" max="4" width="17.88671875" bestFit="1" customWidth="1"/>
    <col min="5" max="5" width="14.44140625" bestFit="1" customWidth="1"/>
    <col min="6" max="6" width="18.88671875" bestFit="1" customWidth="1"/>
    <col min="12" max="12" width="17.88671875" bestFit="1" customWidth="1"/>
    <col min="13" max="13" width="14.44140625" bestFit="1" customWidth="1"/>
    <col min="14" max="14" width="18.88671875" bestFit="1" customWidth="1"/>
  </cols>
  <sheetData>
    <row r="1" spans="1:18" s="11" customFormat="1" x14ac:dyDescent="0.3">
      <c r="A1" s="11" t="s">
        <v>206</v>
      </c>
      <c r="B1" s="54" t="s">
        <v>128</v>
      </c>
      <c r="C1" s="11" t="s">
        <v>82</v>
      </c>
      <c r="D1" s="9" t="s">
        <v>135</v>
      </c>
      <c r="E1" s="9" t="s">
        <v>130</v>
      </c>
      <c r="F1" s="9" t="s">
        <v>129</v>
      </c>
    </row>
    <row r="2" spans="1:18" x14ac:dyDescent="0.3">
      <c r="A2" t="s">
        <v>194</v>
      </c>
      <c r="B2" s="2" t="s">
        <v>18</v>
      </c>
      <c r="C2" t="s">
        <v>64</v>
      </c>
      <c r="D2" s="1">
        <v>46500</v>
      </c>
      <c r="E2" s="1">
        <v>86250</v>
      </c>
      <c r="F2" s="1">
        <v>2300</v>
      </c>
      <c r="J2" s="11" t="s">
        <v>128</v>
      </c>
      <c r="K2" s="11" t="s">
        <v>82</v>
      </c>
      <c r="L2" s="9" t="s">
        <v>135</v>
      </c>
      <c r="M2" s="9" t="s">
        <v>130</v>
      </c>
      <c r="N2" s="9" t="s">
        <v>129</v>
      </c>
    </row>
    <row r="3" spans="1:18" x14ac:dyDescent="0.3">
      <c r="A3" t="s">
        <v>194</v>
      </c>
      <c r="B3" s="2" t="s">
        <v>17</v>
      </c>
      <c r="C3" t="s">
        <v>64</v>
      </c>
      <c r="D3" s="1">
        <v>55000</v>
      </c>
      <c r="E3" s="1">
        <v>132000</v>
      </c>
      <c r="F3" s="1">
        <v>2400</v>
      </c>
      <c r="J3" t="s">
        <v>18</v>
      </c>
      <c r="K3" t="s">
        <v>72</v>
      </c>
      <c r="L3" s="1">
        <v>220000</v>
      </c>
      <c r="M3" s="1">
        <v>566280</v>
      </c>
      <c r="N3" s="1">
        <v>2600</v>
      </c>
      <c r="O3" t="s">
        <v>71</v>
      </c>
    </row>
    <row r="4" spans="1:18" x14ac:dyDescent="0.3">
      <c r="A4" t="s">
        <v>194</v>
      </c>
      <c r="B4" s="2" t="s">
        <v>14</v>
      </c>
      <c r="C4" t="s">
        <v>64</v>
      </c>
      <c r="D4" s="1">
        <v>13740</v>
      </c>
      <c r="E4" s="1">
        <v>49464</v>
      </c>
      <c r="F4" s="1">
        <v>3600</v>
      </c>
      <c r="J4" t="s">
        <v>18</v>
      </c>
      <c r="K4" t="s">
        <v>62</v>
      </c>
      <c r="L4" s="1">
        <v>95000</v>
      </c>
      <c r="M4" s="1">
        <v>244400</v>
      </c>
      <c r="N4" s="1">
        <v>2600</v>
      </c>
      <c r="O4" t="s">
        <v>73</v>
      </c>
    </row>
    <row r="5" spans="1:18" x14ac:dyDescent="0.3">
      <c r="A5" t="s">
        <v>194</v>
      </c>
      <c r="B5" s="2" t="s">
        <v>12</v>
      </c>
      <c r="C5" t="s">
        <v>64</v>
      </c>
      <c r="D5" s="1">
        <v>13740</v>
      </c>
      <c r="E5" s="1">
        <v>21984</v>
      </c>
      <c r="F5" s="1">
        <v>1600</v>
      </c>
      <c r="J5" t="s">
        <v>18</v>
      </c>
      <c r="K5" t="s">
        <v>75</v>
      </c>
      <c r="L5" s="1">
        <v>130000</v>
      </c>
      <c r="M5" s="1">
        <v>213900</v>
      </c>
      <c r="N5" s="1">
        <v>2300</v>
      </c>
      <c r="O5" t="s">
        <v>59</v>
      </c>
    </row>
    <row r="6" spans="1:18" x14ac:dyDescent="0.3">
      <c r="A6" t="s">
        <v>194</v>
      </c>
      <c r="B6" s="2" t="s">
        <v>9</v>
      </c>
      <c r="C6" t="s">
        <v>64</v>
      </c>
      <c r="D6" s="1">
        <v>17297</v>
      </c>
      <c r="E6" s="1">
        <v>44449</v>
      </c>
      <c r="F6" s="1">
        <v>2876</v>
      </c>
      <c r="J6" t="s">
        <v>18</v>
      </c>
      <c r="K6" t="s">
        <v>70</v>
      </c>
      <c r="L6" s="1">
        <v>63000</v>
      </c>
      <c r="M6" s="1">
        <v>167400</v>
      </c>
      <c r="N6" s="1">
        <v>2700</v>
      </c>
      <c r="O6" t="s">
        <v>60</v>
      </c>
    </row>
    <row r="7" spans="1:18" x14ac:dyDescent="0.3">
      <c r="A7" t="s">
        <v>194</v>
      </c>
      <c r="B7" s="2" t="s">
        <v>8</v>
      </c>
      <c r="C7" t="s">
        <v>64</v>
      </c>
      <c r="D7" s="1">
        <v>30500</v>
      </c>
      <c r="E7" s="1">
        <v>97437</v>
      </c>
      <c r="F7" s="1">
        <v>3216</v>
      </c>
      <c r="J7" t="s">
        <v>18</v>
      </c>
      <c r="K7" t="s">
        <v>69</v>
      </c>
      <c r="L7" s="1">
        <v>55000</v>
      </c>
      <c r="M7" s="1">
        <v>158050</v>
      </c>
      <c r="N7" s="1">
        <v>2900</v>
      </c>
      <c r="O7" t="s">
        <v>66</v>
      </c>
    </row>
    <row r="8" spans="1:18" x14ac:dyDescent="0.3">
      <c r="A8" t="s">
        <v>194</v>
      </c>
      <c r="B8" s="2" t="s">
        <v>7</v>
      </c>
      <c r="C8" t="s">
        <v>64</v>
      </c>
      <c r="D8" s="1">
        <v>30500</v>
      </c>
      <c r="E8" s="1">
        <v>94300</v>
      </c>
      <c r="F8" s="1">
        <v>3092</v>
      </c>
      <c r="J8" t="s">
        <v>18</v>
      </c>
      <c r="K8" t="s">
        <v>74</v>
      </c>
      <c r="L8" s="1">
        <v>105000</v>
      </c>
      <c r="M8" s="1">
        <v>133200</v>
      </c>
      <c r="N8" s="1">
        <v>1800</v>
      </c>
      <c r="O8" t="s">
        <v>67</v>
      </c>
    </row>
    <row r="9" spans="1:18" x14ac:dyDescent="0.3">
      <c r="A9" t="s">
        <v>194</v>
      </c>
      <c r="B9" s="2" t="s">
        <v>6</v>
      </c>
      <c r="C9" t="s">
        <v>64</v>
      </c>
      <c r="D9" s="1">
        <v>30500</v>
      </c>
      <c r="E9" s="1">
        <v>85400</v>
      </c>
      <c r="F9" s="1">
        <v>2800</v>
      </c>
      <c r="J9" t="s">
        <v>18</v>
      </c>
      <c r="K9" t="s">
        <v>58</v>
      </c>
      <c r="L9" s="1">
        <v>50000</v>
      </c>
      <c r="M9" s="1">
        <v>105600</v>
      </c>
      <c r="N9" s="1">
        <v>2400</v>
      </c>
      <c r="O9" t="s">
        <v>61</v>
      </c>
    </row>
    <row r="10" spans="1:18" x14ac:dyDescent="0.3">
      <c r="A10" t="s">
        <v>194</v>
      </c>
      <c r="B10" s="2" t="s">
        <v>5</v>
      </c>
      <c r="C10" t="s">
        <v>64</v>
      </c>
      <c r="D10" s="1">
        <v>30500</v>
      </c>
      <c r="E10" s="1">
        <v>73900</v>
      </c>
      <c r="F10" s="1">
        <v>2423</v>
      </c>
      <c r="J10" t="s">
        <v>18</v>
      </c>
      <c r="K10" t="s">
        <v>68</v>
      </c>
      <c r="L10" s="1">
        <v>38000</v>
      </c>
      <c r="M10" s="1">
        <v>89280</v>
      </c>
      <c r="N10" s="1">
        <v>2400</v>
      </c>
      <c r="O10" t="s">
        <v>63</v>
      </c>
    </row>
    <row r="11" spans="1:18" x14ac:dyDescent="0.3">
      <c r="A11" t="s">
        <v>194</v>
      </c>
      <c r="B11" s="2" t="s">
        <v>4</v>
      </c>
      <c r="C11" t="s">
        <v>64</v>
      </c>
      <c r="D11" s="1">
        <v>30100</v>
      </c>
      <c r="E11" s="1">
        <v>69717</v>
      </c>
      <c r="F11" s="1">
        <v>2351</v>
      </c>
      <c r="J11" t="s">
        <v>18</v>
      </c>
      <c r="K11" t="s">
        <v>64</v>
      </c>
      <c r="L11" s="1">
        <v>46500</v>
      </c>
      <c r="M11" s="1">
        <v>86250</v>
      </c>
      <c r="N11" s="1">
        <v>2300</v>
      </c>
      <c r="O11" t="s">
        <v>57</v>
      </c>
    </row>
    <row r="12" spans="1:18" x14ac:dyDescent="0.3">
      <c r="A12" t="s">
        <v>194</v>
      </c>
      <c r="B12" s="2" t="s">
        <v>3</v>
      </c>
      <c r="C12" t="s">
        <v>64</v>
      </c>
      <c r="D12" s="1">
        <v>38300</v>
      </c>
      <c r="E12" s="1">
        <v>87062</v>
      </c>
      <c r="F12" s="1">
        <v>2368</v>
      </c>
      <c r="J12" t="s">
        <v>18</v>
      </c>
      <c r="K12" t="s">
        <v>56</v>
      </c>
      <c r="L12" s="1">
        <v>20000</v>
      </c>
      <c r="M12" s="1">
        <v>46800</v>
      </c>
      <c r="N12" s="1">
        <v>2400</v>
      </c>
      <c r="O12" t="s">
        <v>50</v>
      </c>
      <c r="R12" s="1"/>
    </row>
    <row r="13" spans="1:18" x14ac:dyDescent="0.3">
      <c r="A13" t="s">
        <v>194</v>
      </c>
      <c r="B13" s="2" t="s">
        <v>18</v>
      </c>
      <c r="C13" t="s">
        <v>62</v>
      </c>
      <c r="D13" s="1">
        <v>95000</v>
      </c>
      <c r="E13" s="1">
        <v>244400</v>
      </c>
      <c r="F13" s="1">
        <v>2600</v>
      </c>
      <c r="J13" t="s">
        <v>18</v>
      </c>
      <c r="K13" t="s">
        <v>51</v>
      </c>
      <c r="L13" s="1">
        <v>8500</v>
      </c>
      <c r="M13" s="1">
        <v>19200</v>
      </c>
      <c r="N13" s="1">
        <v>2400</v>
      </c>
      <c r="O13" t="s">
        <v>49</v>
      </c>
    </row>
    <row r="14" spans="1:18" x14ac:dyDescent="0.3">
      <c r="A14" t="s">
        <v>194</v>
      </c>
      <c r="B14" s="2" t="s">
        <v>17</v>
      </c>
      <c r="C14" t="s">
        <v>62</v>
      </c>
      <c r="D14" s="1">
        <v>116000</v>
      </c>
      <c r="E14" s="1">
        <v>336400</v>
      </c>
      <c r="F14" s="1">
        <v>2900</v>
      </c>
      <c r="J14" t="s">
        <v>18</v>
      </c>
      <c r="K14" t="s">
        <v>54</v>
      </c>
      <c r="L14" s="1">
        <v>5000</v>
      </c>
      <c r="M14" s="1">
        <v>12500</v>
      </c>
      <c r="N14" s="1">
        <v>2500</v>
      </c>
      <c r="O14" t="s">
        <v>53</v>
      </c>
    </row>
    <row r="15" spans="1:18" x14ac:dyDescent="0.3">
      <c r="A15" t="s">
        <v>194</v>
      </c>
      <c r="B15" s="2" t="s">
        <v>14</v>
      </c>
      <c r="C15" t="s">
        <v>62</v>
      </c>
      <c r="D15" s="1">
        <v>68080</v>
      </c>
      <c r="E15" s="1">
        <v>265512</v>
      </c>
      <c r="F15" s="1">
        <v>3900</v>
      </c>
      <c r="J15" t="s">
        <v>18</v>
      </c>
      <c r="K15" t="s">
        <v>65</v>
      </c>
      <c r="L15" s="1">
        <v>6000</v>
      </c>
      <c r="M15" s="1">
        <v>12000</v>
      </c>
      <c r="N15" s="1">
        <v>2000</v>
      </c>
      <c r="O15" t="s">
        <v>35</v>
      </c>
    </row>
    <row r="16" spans="1:18" x14ac:dyDescent="0.3">
      <c r="A16" t="s">
        <v>194</v>
      </c>
      <c r="B16" s="2" t="s">
        <v>12</v>
      </c>
      <c r="C16" t="s">
        <v>62</v>
      </c>
      <c r="D16" s="1">
        <v>69000</v>
      </c>
      <c r="E16" s="1">
        <v>227700</v>
      </c>
      <c r="F16" s="1">
        <v>3300</v>
      </c>
      <c r="J16" t="s">
        <v>18</v>
      </c>
      <c r="K16" t="s">
        <v>44</v>
      </c>
      <c r="L16" s="1">
        <v>4000</v>
      </c>
      <c r="M16" s="1">
        <v>10000</v>
      </c>
      <c r="N16" s="1">
        <v>2500</v>
      </c>
      <c r="O16" t="s">
        <v>47</v>
      </c>
    </row>
    <row r="17" spans="1:17" x14ac:dyDescent="0.3">
      <c r="A17" t="s">
        <v>194</v>
      </c>
      <c r="B17" s="2" t="s">
        <v>9</v>
      </c>
      <c r="C17" t="s">
        <v>62</v>
      </c>
      <c r="D17" s="1">
        <v>114800</v>
      </c>
      <c r="E17" s="1">
        <v>342323</v>
      </c>
      <c r="F17" s="1">
        <v>3090</v>
      </c>
      <c r="J17" t="s">
        <v>18</v>
      </c>
      <c r="K17" t="s">
        <v>41</v>
      </c>
      <c r="L17" s="1">
        <v>4000</v>
      </c>
      <c r="M17" s="1">
        <v>10000</v>
      </c>
      <c r="N17" s="1">
        <v>2500</v>
      </c>
      <c r="O17" t="s">
        <v>45</v>
      </c>
    </row>
    <row r="18" spans="1:17" x14ac:dyDescent="0.3">
      <c r="A18" t="s">
        <v>194</v>
      </c>
      <c r="B18" s="2" t="s">
        <v>8</v>
      </c>
      <c r="C18" t="s">
        <v>62</v>
      </c>
      <c r="D18" s="1">
        <v>124150</v>
      </c>
      <c r="E18" s="1">
        <v>421911</v>
      </c>
      <c r="F18" s="1">
        <v>3420</v>
      </c>
      <c r="J18" t="s">
        <v>18</v>
      </c>
      <c r="K18" t="s">
        <v>48</v>
      </c>
      <c r="L18" s="1">
        <v>5000</v>
      </c>
      <c r="M18" s="1">
        <v>10000</v>
      </c>
      <c r="N18" s="1">
        <v>2000</v>
      </c>
      <c r="O18" t="s">
        <v>43</v>
      </c>
    </row>
    <row r="19" spans="1:17" x14ac:dyDescent="0.3">
      <c r="A19" t="s">
        <v>194</v>
      </c>
      <c r="B19" s="2" t="s">
        <v>7</v>
      </c>
      <c r="C19" t="s">
        <v>62</v>
      </c>
      <c r="D19" s="1">
        <v>124150</v>
      </c>
      <c r="E19" s="1">
        <v>387660</v>
      </c>
      <c r="F19" s="1">
        <v>3123</v>
      </c>
      <c r="J19" t="s">
        <v>18</v>
      </c>
      <c r="K19" t="s">
        <v>33</v>
      </c>
      <c r="L19" s="1">
        <v>3500</v>
      </c>
      <c r="M19" s="1">
        <v>8750</v>
      </c>
      <c r="N19" s="1">
        <v>2500</v>
      </c>
      <c r="O19" t="s">
        <v>39</v>
      </c>
      <c r="Q19" s="1"/>
    </row>
    <row r="20" spans="1:17" x14ac:dyDescent="0.3">
      <c r="A20" t="s">
        <v>194</v>
      </c>
      <c r="B20" s="2" t="s">
        <v>6</v>
      </c>
      <c r="C20" t="s">
        <v>62</v>
      </c>
      <c r="D20" s="1">
        <v>121355</v>
      </c>
      <c r="E20" s="1">
        <v>397956</v>
      </c>
      <c r="F20" s="1">
        <v>3279</v>
      </c>
      <c r="J20" t="s">
        <v>18</v>
      </c>
      <c r="K20" t="s">
        <v>42</v>
      </c>
      <c r="L20" s="1">
        <v>3000</v>
      </c>
      <c r="M20" s="1">
        <v>7500</v>
      </c>
      <c r="N20" s="1">
        <v>2500</v>
      </c>
      <c r="O20" t="s">
        <v>40</v>
      </c>
    </row>
    <row r="21" spans="1:17" x14ac:dyDescent="0.3">
      <c r="A21" t="s">
        <v>194</v>
      </c>
      <c r="B21" s="2" t="s">
        <v>5</v>
      </c>
      <c r="C21" t="s">
        <v>62</v>
      </c>
      <c r="D21" s="1">
        <v>122455</v>
      </c>
      <c r="E21" s="1">
        <v>334028</v>
      </c>
      <c r="F21" s="1">
        <v>2728</v>
      </c>
      <c r="J21" t="s">
        <v>18</v>
      </c>
      <c r="K21" t="s">
        <v>37</v>
      </c>
      <c r="L21" s="1">
        <v>3500</v>
      </c>
      <c r="M21" s="1">
        <v>5000</v>
      </c>
      <c r="N21" s="1">
        <v>2000</v>
      </c>
      <c r="O21" t="s">
        <v>34</v>
      </c>
    </row>
    <row r="22" spans="1:17" x14ac:dyDescent="0.3">
      <c r="A22" t="s">
        <v>194</v>
      </c>
      <c r="B22" s="2" t="s">
        <v>4</v>
      </c>
      <c r="C22" t="s">
        <v>62</v>
      </c>
      <c r="D22" s="1">
        <v>117500</v>
      </c>
      <c r="E22" s="1">
        <v>199254</v>
      </c>
      <c r="F22" s="1">
        <v>1767</v>
      </c>
      <c r="J22" t="s">
        <v>18</v>
      </c>
      <c r="K22" t="s">
        <v>52</v>
      </c>
      <c r="L22" s="1">
        <v>2000</v>
      </c>
      <c r="M22" s="1">
        <v>5000</v>
      </c>
      <c r="N22" s="1">
        <v>2500</v>
      </c>
      <c r="O22" t="s">
        <v>32</v>
      </c>
    </row>
    <row r="23" spans="1:17" x14ac:dyDescent="0.3">
      <c r="A23" t="s">
        <v>194</v>
      </c>
      <c r="B23" s="2" t="s">
        <v>3</v>
      </c>
      <c r="C23" t="s">
        <v>62</v>
      </c>
      <c r="D23" s="1">
        <v>143930</v>
      </c>
      <c r="E23" s="1">
        <v>72538</v>
      </c>
      <c r="F23" s="1">
        <v>700</v>
      </c>
      <c r="J23" t="s">
        <v>18</v>
      </c>
      <c r="K23" t="s">
        <v>31</v>
      </c>
      <c r="L23" s="1">
        <v>1500</v>
      </c>
      <c r="M23" s="1">
        <v>3300</v>
      </c>
      <c r="N23" s="1">
        <v>2200</v>
      </c>
      <c r="O23" t="s">
        <v>36</v>
      </c>
    </row>
    <row r="24" spans="1:17" x14ac:dyDescent="0.3">
      <c r="A24" t="s">
        <v>194</v>
      </c>
      <c r="B24" s="2" t="s">
        <v>5</v>
      </c>
      <c r="C24" t="s">
        <v>27</v>
      </c>
      <c r="D24" s="1">
        <v>500</v>
      </c>
      <c r="E24" s="1">
        <v>750</v>
      </c>
      <c r="F24" s="1">
        <v>1500</v>
      </c>
      <c r="J24" t="s">
        <v>18</v>
      </c>
      <c r="K24" t="s">
        <v>38</v>
      </c>
      <c r="L24" s="1">
        <v>500</v>
      </c>
      <c r="M24" s="1">
        <v>900</v>
      </c>
      <c r="N24" s="1">
        <v>1800</v>
      </c>
      <c r="O24" t="s">
        <v>30</v>
      </c>
    </row>
    <row r="25" spans="1:17" x14ac:dyDescent="0.3">
      <c r="A25" t="s">
        <v>194</v>
      </c>
      <c r="B25" s="2" t="s">
        <v>4</v>
      </c>
      <c r="C25" t="s">
        <v>27</v>
      </c>
      <c r="D25" s="1">
        <v>500</v>
      </c>
      <c r="E25" s="1">
        <v>1520</v>
      </c>
      <c r="F25" s="1">
        <v>3040</v>
      </c>
      <c r="J25" s="3" t="s">
        <v>18</v>
      </c>
      <c r="K25" t="s">
        <v>192</v>
      </c>
      <c r="L25" s="9">
        <v>869000</v>
      </c>
      <c r="M25" s="9">
        <v>1915310</v>
      </c>
      <c r="N25" s="9">
        <v>2460</v>
      </c>
    </row>
    <row r="26" spans="1:17" x14ac:dyDescent="0.3">
      <c r="A26" t="s">
        <v>194</v>
      </c>
      <c r="B26" s="2" t="s">
        <v>3</v>
      </c>
      <c r="C26" t="s">
        <v>27</v>
      </c>
      <c r="D26" s="1">
        <v>575</v>
      </c>
      <c r="E26" s="1">
        <v>1188</v>
      </c>
      <c r="F26" s="1">
        <v>2200</v>
      </c>
    </row>
    <row r="27" spans="1:17" x14ac:dyDescent="0.3">
      <c r="A27" t="s">
        <v>194</v>
      </c>
      <c r="B27" s="2" t="s">
        <v>18</v>
      </c>
      <c r="C27" t="s">
        <v>37</v>
      </c>
      <c r="D27" s="1">
        <v>3500</v>
      </c>
      <c r="E27" s="1">
        <v>5000</v>
      </c>
      <c r="F27" s="1">
        <v>2000</v>
      </c>
      <c r="J27" s="11" t="s">
        <v>128</v>
      </c>
      <c r="K27" s="11" t="s">
        <v>82</v>
      </c>
      <c r="L27" s="9" t="s">
        <v>135</v>
      </c>
      <c r="M27" s="9" t="s">
        <v>130</v>
      </c>
      <c r="N27" s="9" t="s">
        <v>129</v>
      </c>
    </row>
    <row r="28" spans="1:17" x14ac:dyDescent="0.3">
      <c r="A28" t="s">
        <v>194</v>
      </c>
      <c r="B28" s="2" t="s">
        <v>17</v>
      </c>
      <c r="C28" t="s">
        <v>37</v>
      </c>
      <c r="D28" s="1">
        <v>3500</v>
      </c>
      <c r="E28" s="1">
        <v>7350</v>
      </c>
      <c r="F28" s="1">
        <v>2100</v>
      </c>
      <c r="J28" t="s">
        <v>17</v>
      </c>
      <c r="K28" t="s">
        <v>72</v>
      </c>
      <c r="L28" s="1">
        <v>290000</v>
      </c>
      <c r="M28" s="1">
        <v>741000</v>
      </c>
      <c r="N28" s="1">
        <v>2600</v>
      </c>
      <c r="O28" t="s">
        <v>71</v>
      </c>
    </row>
    <row r="29" spans="1:17" x14ac:dyDescent="0.3">
      <c r="A29" t="s">
        <v>194</v>
      </c>
      <c r="B29" s="2" t="s">
        <v>14</v>
      </c>
      <c r="C29" t="s">
        <v>37</v>
      </c>
      <c r="D29" s="1">
        <v>3500</v>
      </c>
      <c r="E29" s="1">
        <v>11492</v>
      </c>
      <c r="F29" s="1">
        <v>3400</v>
      </c>
      <c r="J29" t="s">
        <v>17</v>
      </c>
      <c r="K29" t="s">
        <v>75</v>
      </c>
      <c r="L29" s="1">
        <v>140000</v>
      </c>
      <c r="M29" s="1">
        <v>340200</v>
      </c>
      <c r="N29" s="1">
        <v>2700</v>
      </c>
      <c r="O29" t="s">
        <v>73</v>
      </c>
    </row>
    <row r="30" spans="1:17" x14ac:dyDescent="0.3">
      <c r="A30" t="s">
        <v>194</v>
      </c>
      <c r="B30" s="2" t="s">
        <v>12</v>
      </c>
      <c r="C30" t="s">
        <v>37</v>
      </c>
      <c r="D30" s="1">
        <v>50</v>
      </c>
      <c r="E30" s="1">
        <v>140</v>
      </c>
      <c r="F30" s="1">
        <v>2800</v>
      </c>
      <c r="J30" t="s">
        <v>17</v>
      </c>
      <c r="K30" t="s">
        <v>62</v>
      </c>
      <c r="L30" s="1">
        <v>116000</v>
      </c>
      <c r="M30" s="1">
        <v>336400</v>
      </c>
      <c r="N30" s="1">
        <v>2900</v>
      </c>
      <c r="O30" t="s">
        <v>59</v>
      </c>
    </row>
    <row r="31" spans="1:17" x14ac:dyDescent="0.3">
      <c r="A31" t="s">
        <v>194</v>
      </c>
      <c r="B31" s="2" t="s">
        <v>9</v>
      </c>
      <c r="C31" t="s">
        <v>37</v>
      </c>
      <c r="D31" s="1">
        <v>3500</v>
      </c>
      <c r="E31" s="1">
        <v>10478</v>
      </c>
      <c r="F31" s="1">
        <v>3100</v>
      </c>
      <c r="J31" t="s">
        <v>17</v>
      </c>
      <c r="K31" t="s">
        <v>74</v>
      </c>
      <c r="L31" s="1">
        <v>112000</v>
      </c>
      <c r="M31" s="1">
        <v>275400</v>
      </c>
      <c r="N31" s="1">
        <v>2700</v>
      </c>
      <c r="O31" t="s">
        <v>60</v>
      </c>
    </row>
    <row r="32" spans="1:17" x14ac:dyDescent="0.3">
      <c r="A32" t="s">
        <v>194</v>
      </c>
      <c r="B32" s="2" t="s">
        <v>8</v>
      </c>
      <c r="C32" t="s">
        <v>37</v>
      </c>
      <c r="D32" s="1">
        <v>3600</v>
      </c>
      <c r="E32" s="1">
        <v>10800</v>
      </c>
      <c r="F32" s="1">
        <v>3000</v>
      </c>
      <c r="J32" t="s">
        <v>17</v>
      </c>
      <c r="K32" t="s">
        <v>70</v>
      </c>
      <c r="L32" s="1">
        <v>53915</v>
      </c>
      <c r="M32" s="1">
        <v>156354</v>
      </c>
      <c r="N32" s="1">
        <v>2900</v>
      </c>
      <c r="O32" t="s">
        <v>66</v>
      </c>
    </row>
    <row r="33" spans="1:15" x14ac:dyDescent="0.3">
      <c r="A33" t="s">
        <v>194</v>
      </c>
      <c r="B33" s="2" t="s">
        <v>7</v>
      </c>
      <c r="C33" t="s">
        <v>37</v>
      </c>
      <c r="D33" s="1">
        <v>3600</v>
      </c>
      <c r="E33" s="1">
        <v>11520</v>
      </c>
      <c r="F33" s="1">
        <v>3200</v>
      </c>
      <c r="J33" t="s">
        <v>17</v>
      </c>
      <c r="K33" t="s">
        <v>64</v>
      </c>
      <c r="L33" s="1">
        <v>55000</v>
      </c>
      <c r="M33" s="1">
        <v>132000</v>
      </c>
      <c r="N33" s="1">
        <v>2400</v>
      </c>
      <c r="O33" t="s">
        <v>67</v>
      </c>
    </row>
    <row r="34" spans="1:15" x14ac:dyDescent="0.3">
      <c r="A34" t="s">
        <v>194</v>
      </c>
      <c r="B34" s="2" t="s">
        <v>6</v>
      </c>
      <c r="C34" t="s">
        <v>37</v>
      </c>
      <c r="D34" s="1">
        <v>3600</v>
      </c>
      <c r="E34" s="1">
        <v>10440</v>
      </c>
      <c r="F34" s="1">
        <v>2900</v>
      </c>
      <c r="J34" t="s">
        <v>17</v>
      </c>
      <c r="K34" t="s">
        <v>69</v>
      </c>
      <c r="L34" s="1">
        <v>55000</v>
      </c>
      <c r="M34" s="1">
        <v>127400</v>
      </c>
      <c r="N34" s="1">
        <v>2600</v>
      </c>
      <c r="O34" t="s">
        <v>61</v>
      </c>
    </row>
    <row r="35" spans="1:15" x14ac:dyDescent="0.3">
      <c r="A35" t="s">
        <v>194</v>
      </c>
      <c r="B35" s="2" t="s">
        <v>5</v>
      </c>
      <c r="C35" t="s">
        <v>37</v>
      </c>
      <c r="D35" s="1">
        <v>5600</v>
      </c>
      <c r="E35" s="1">
        <v>14392</v>
      </c>
      <c r="F35" s="1">
        <v>2570</v>
      </c>
      <c r="J35" t="s">
        <v>17</v>
      </c>
      <c r="K35" t="s">
        <v>68</v>
      </c>
      <c r="L35" s="1">
        <v>41407</v>
      </c>
      <c r="M35" s="1">
        <v>120080</v>
      </c>
      <c r="N35" s="1">
        <v>2900</v>
      </c>
      <c r="O35" t="s">
        <v>63</v>
      </c>
    </row>
    <row r="36" spans="1:15" x14ac:dyDescent="0.3">
      <c r="A36" t="s">
        <v>194</v>
      </c>
      <c r="B36" s="2" t="s">
        <v>4</v>
      </c>
      <c r="C36" t="s">
        <v>37</v>
      </c>
      <c r="D36" s="1">
        <v>4800</v>
      </c>
      <c r="E36" s="1">
        <v>11326</v>
      </c>
      <c r="F36" s="1">
        <v>2420</v>
      </c>
      <c r="J36" t="s">
        <v>17</v>
      </c>
      <c r="K36" t="s">
        <v>58</v>
      </c>
      <c r="L36" s="1">
        <v>50000</v>
      </c>
      <c r="M36" s="1">
        <v>105800</v>
      </c>
      <c r="N36" s="1">
        <v>2300</v>
      </c>
      <c r="O36" t="s">
        <v>57</v>
      </c>
    </row>
    <row r="37" spans="1:15" x14ac:dyDescent="0.3">
      <c r="A37" t="s">
        <v>194</v>
      </c>
      <c r="B37" s="2" t="s">
        <v>3</v>
      </c>
      <c r="C37" t="s">
        <v>37</v>
      </c>
      <c r="D37" s="1">
        <v>5850</v>
      </c>
      <c r="E37" s="1">
        <v>10152</v>
      </c>
      <c r="F37" s="1">
        <v>1800</v>
      </c>
      <c r="J37" t="s">
        <v>17</v>
      </c>
      <c r="K37" t="s">
        <v>56</v>
      </c>
      <c r="L37" s="1">
        <v>15000</v>
      </c>
      <c r="M37" s="1">
        <v>40500</v>
      </c>
      <c r="N37" s="1">
        <v>2700</v>
      </c>
      <c r="O37" t="s">
        <v>50</v>
      </c>
    </row>
    <row r="38" spans="1:15" x14ac:dyDescent="0.3">
      <c r="A38" t="s">
        <v>194</v>
      </c>
      <c r="B38" s="2" t="s">
        <v>18</v>
      </c>
      <c r="C38" t="s">
        <v>44</v>
      </c>
      <c r="D38" s="1">
        <v>4000</v>
      </c>
      <c r="E38" s="1">
        <v>10000</v>
      </c>
      <c r="F38" s="1">
        <v>2500</v>
      </c>
      <c r="J38" t="s">
        <v>17</v>
      </c>
      <c r="K38" t="s">
        <v>65</v>
      </c>
      <c r="L38" s="1">
        <v>15750</v>
      </c>
      <c r="M38" s="1">
        <v>37800</v>
      </c>
      <c r="N38" s="1">
        <v>2400</v>
      </c>
      <c r="O38" t="s">
        <v>49</v>
      </c>
    </row>
    <row r="39" spans="1:15" x14ac:dyDescent="0.3">
      <c r="A39" t="s">
        <v>194</v>
      </c>
      <c r="B39" s="2" t="s">
        <v>17</v>
      </c>
      <c r="C39" t="s">
        <v>44</v>
      </c>
      <c r="D39" s="1">
        <v>4000</v>
      </c>
      <c r="E39" s="1">
        <v>8800</v>
      </c>
      <c r="F39" s="1">
        <v>2200</v>
      </c>
      <c r="J39" t="s">
        <v>17</v>
      </c>
      <c r="K39" t="s">
        <v>51</v>
      </c>
      <c r="L39" s="1">
        <v>8500</v>
      </c>
      <c r="M39" s="1">
        <v>18700</v>
      </c>
      <c r="N39" s="1">
        <v>2200</v>
      </c>
      <c r="O39" t="s">
        <v>53</v>
      </c>
    </row>
    <row r="40" spans="1:15" x14ac:dyDescent="0.3">
      <c r="A40" t="s">
        <v>194</v>
      </c>
      <c r="B40" s="2" t="s">
        <v>14</v>
      </c>
      <c r="C40" t="s">
        <v>44</v>
      </c>
      <c r="D40" s="1">
        <v>4000</v>
      </c>
      <c r="E40" s="1">
        <v>12000</v>
      </c>
      <c r="F40" s="1">
        <v>3000</v>
      </c>
      <c r="J40" t="s">
        <v>17</v>
      </c>
      <c r="K40" t="s">
        <v>48</v>
      </c>
      <c r="L40" s="1">
        <v>5000</v>
      </c>
      <c r="M40" s="1">
        <v>10500</v>
      </c>
      <c r="N40" s="1">
        <v>2100</v>
      </c>
      <c r="O40" t="s">
        <v>35</v>
      </c>
    </row>
    <row r="41" spans="1:15" x14ac:dyDescent="0.3">
      <c r="A41" t="s">
        <v>194</v>
      </c>
      <c r="B41" s="2" t="s">
        <v>12</v>
      </c>
      <c r="C41" t="s">
        <v>44</v>
      </c>
      <c r="D41" s="1">
        <v>4000</v>
      </c>
      <c r="E41" s="1">
        <v>10000</v>
      </c>
      <c r="F41" s="1">
        <v>2500</v>
      </c>
      <c r="J41" t="s">
        <v>17</v>
      </c>
      <c r="K41" t="s">
        <v>54</v>
      </c>
      <c r="L41" s="1">
        <v>4000</v>
      </c>
      <c r="M41" s="1">
        <v>9600</v>
      </c>
      <c r="N41" s="1">
        <v>2400</v>
      </c>
      <c r="O41" t="s">
        <v>47</v>
      </c>
    </row>
    <row r="42" spans="1:15" x14ac:dyDescent="0.3">
      <c r="A42" t="s">
        <v>194</v>
      </c>
      <c r="B42" s="2" t="s">
        <v>9</v>
      </c>
      <c r="C42" t="s">
        <v>44</v>
      </c>
      <c r="D42" s="1">
        <v>4600</v>
      </c>
      <c r="E42" s="1">
        <v>13800</v>
      </c>
      <c r="F42" s="1">
        <v>3000</v>
      </c>
      <c r="J42" t="s">
        <v>17</v>
      </c>
      <c r="K42" t="s">
        <v>44</v>
      </c>
      <c r="L42" s="1">
        <v>4000</v>
      </c>
      <c r="M42" s="1">
        <v>8800</v>
      </c>
      <c r="N42" s="1">
        <v>2200</v>
      </c>
      <c r="O42" t="s">
        <v>45</v>
      </c>
    </row>
    <row r="43" spans="1:15" x14ac:dyDescent="0.3">
      <c r="A43" t="s">
        <v>194</v>
      </c>
      <c r="B43" s="2" t="s">
        <v>8</v>
      </c>
      <c r="C43" t="s">
        <v>44</v>
      </c>
      <c r="D43" s="1">
        <v>4000</v>
      </c>
      <c r="E43" s="1">
        <v>12000</v>
      </c>
      <c r="F43" s="1">
        <v>3000</v>
      </c>
      <c r="J43" t="s">
        <v>17</v>
      </c>
      <c r="K43" t="s">
        <v>25</v>
      </c>
      <c r="L43" s="1">
        <v>3000</v>
      </c>
      <c r="M43" s="1">
        <v>8700</v>
      </c>
      <c r="N43" s="1">
        <v>2900</v>
      </c>
      <c r="O43" t="s">
        <v>43</v>
      </c>
    </row>
    <row r="44" spans="1:15" x14ac:dyDescent="0.3">
      <c r="A44" t="s">
        <v>194</v>
      </c>
      <c r="B44" s="2" t="s">
        <v>7</v>
      </c>
      <c r="C44" t="s">
        <v>44</v>
      </c>
      <c r="D44" s="1">
        <v>4000</v>
      </c>
      <c r="E44" s="1">
        <v>12000</v>
      </c>
      <c r="F44" s="1">
        <v>3000</v>
      </c>
      <c r="J44" t="s">
        <v>17</v>
      </c>
      <c r="K44" t="s">
        <v>41</v>
      </c>
      <c r="L44" s="1">
        <v>3000</v>
      </c>
      <c r="M44" s="1">
        <v>8100</v>
      </c>
      <c r="N44" s="1">
        <v>2700</v>
      </c>
      <c r="O44" t="s">
        <v>39</v>
      </c>
    </row>
    <row r="45" spans="1:15" x14ac:dyDescent="0.3">
      <c r="A45" t="s">
        <v>194</v>
      </c>
      <c r="B45" s="2" t="s">
        <v>6</v>
      </c>
      <c r="C45" t="s">
        <v>44</v>
      </c>
      <c r="D45" s="1">
        <v>4500</v>
      </c>
      <c r="E45" s="1">
        <v>11250</v>
      </c>
      <c r="F45" s="1">
        <v>2500</v>
      </c>
      <c r="J45" t="s">
        <v>17</v>
      </c>
      <c r="K45" t="s">
        <v>37</v>
      </c>
      <c r="L45" s="1">
        <v>3500</v>
      </c>
      <c r="M45" s="1">
        <v>7350</v>
      </c>
      <c r="N45" s="1">
        <v>2100</v>
      </c>
      <c r="O45" t="s">
        <v>40</v>
      </c>
    </row>
    <row r="46" spans="1:15" x14ac:dyDescent="0.3">
      <c r="A46" t="s">
        <v>194</v>
      </c>
      <c r="B46" s="2" t="s">
        <v>5</v>
      </c>
      <c r="C46" t="s">
        <v>44</v>
      </c>
      <c r="D46" s="1">
        <v>5000</v>
      </c>
      <c r="E46" s="1">
        <v>7500</v>
      </c>
      <c r="F46" s="1">
        <v>1500</v>
      </c>
      <c r="J46" t="s">
        <v>17</v>
      </c>
      <c r="K46" t="s">
        <v>42</v>
      </c>
      <c r="L46" s="1">
        <v>2000</v>
      </c>
      <c r="M46" s="1">
        <v>5400</v>
      </c>
      <c r="N46" s="1">
        <v>2700</v>
      </c>
      <c r="O46" t="s">
        <v>34</v>
      </c>
    </row>
    <row r="47" spans="1:15" x14ac:dyDescent="0.3">
      <c r="A47" t="s">
        <v>194</v>
      </c>
      <c r="B47" s="2" t="s">
        <v>4</v>
      </c>
      <c r="C47" t="s">
        <v>44</v>
      </c>
      <c r="D47" s="1">
        <v>5000</v>
      </c>
      <c r="E47" s="1">
        <v>15048</v>
      </c>
      <c r="F47" s="1">
        <v>3010</v>
      </c>
      <c r="J47" t="s">
        <v>17</v>
      </c>
      <c r="K47" t="s">
        <v>31</v>
      </c>
      <c r="L47" s="1">
        <v>1500</v>
      </c>
      <c r="M47" s="1">
        <v>3600</v>
      </c>
      <c r="N47" s="1">
        <v>2400</v>
      </c>
      <c r="O47" t="s">
        <v>32</v>
      </c>
    </row>
    <row r="48" spans="1:15" x14ac:dyDescent="0.3">
      <c r="A48" t="s">
        <v>194</v>
      </c>
      <c r="B48" s="2" t="s">
        <v>3</v>
      </c>
      <c r="C48" t="s">
        <v>44</v>
      </c>
      <c r="D48" s="1">
        <v>5800</v>
      </c>
      <c r="E48" s="1">
        <v>15187</v>
      </c>
      <c r="F48" s="1">
        <v>2657</v>
      </c>
      <c r="J48" t="s">
        <v>17</v>
      </c>
      <c r="K48" t="s">
        <v>52</v>
      </c>
      <c r="L48" s="1">
        <v>1500</v>
      </c>
      <c r="M48" s="1">
        <v>3600</v>
      </c>
      <c r="N48" s="1">
        <v>2400</v>
      </c>
      <c r="O48" t="s">
        <v>36</v>
      </c>
    </row>
    <row r="49" spans="1:15" x14ac:dyDescent="0.3">
      <c r="A49" t="s">
        <v>194</v>
      </c>
      <c r="B49" s="2" t="s">
        <v>18</v>
      </c>
      <c r="C49" t="s">
        <v>74</v>
      </c>
      <c r="D49" s="1">
        <v>105000</v>
      </c>
      <c r="E49" s="1">
        <v>133200</v>
      </c>
      <c r="F49" s="1">
        <v>1800</v>
      </c>
      <c r="J49" t="s">
        <v>17</v>
      </c>
      <c r="K49" t="s">
        <v>38</v>
      </c>
      <c r="L49" s="1">
        <v>500</v>
      </c>
      <c r="M49" s="1">
        <v>850</v>
      </c>
      <c r="N49" s="1">
        <v>1700</v>
      </c>
      <c r="O49" t="s">
        <v>30</v>
      </c>
    </row>
    <row r="50" spans="1:15" x14ac:dyDescent="0.3">
      <c r="A50" t="s">
        <v>194</v>
      </c>
      <c r="B50" s="2" t="s">
        <v>17</v>
      </c>
      <c r="C50" t="s">
        <v>74</v>
      </c>
      <c r="D50" s="1">
        <v>112000</v>
      </c>
      <c r="E50" s="1">
        <v>275400</v>
      </c>
      <c r="F50" s="1">
        <v>2700</v>
      </c>
      <c r="J50" s="53" t="s">
        <v>17</v>
      </c>
      <c r="K50" s="11" t="s">
        <v>192</v>
      </c>
      <c r="L50" s="9">
        <v>980572</v>
      </c>
      <c r="M50" s="9">
        <v>2498134</v>
      </c>
      <c r="N50" s="9">
        <v>2653</v>
      </c>
    </row>
    <row r="51" spans="1:15" x14ac:dyDescent="0.3">
      <c r="A51" t="s">
        <v>194</v>
      </c>
      <c r="B51" s="2" t="s">
        <v>14</v>
      </c>
      <c r="C51" t="s">
        <v>74</v>
      </c>
      <c r="D51" s="1">
        <v>103000</v>
      </c>
      <c r="E51" s="1">
        <v>374329</v>
      </c>
      <c r="F51" s="1">
        <v>3700</v>
      </c>
      <c r="J51" s="11" t="s">
        <v>128</v>
      </c>
      <c r="K51" s="11" t="s">
        <v>82</v>
      </c>
      <c r="L51" s="9" t="s">
        <v>135</v>
      </c>
      <c r="M51" s="9" t="s">
        <v>130</v>
      </c>
      <c r="N51" s="9" t="s">
        <v>129</v>
      </c>
    </row>
    <row r="52" spans="1:15" x14ac:dyDescent="0.3">
      <c r="A52" t="s">
        <v>194</v>
      </c>
      <c r="B52" s="2" t="s">
        <v>12</v>
      </c>
      <c r="C52" t="s">
        <v>74</v>
      </c>
      <c r="D52" s="1">
        <v>104000</v>
      </c>
      <c r="E52" s="1">
        <v>249600</v>
      </c>
      <c r="F52" s="1">
        <v>2400</v>
      </c>
      <c r="J52" t="s">
        <v>14</v>
      </c>
      <c r="K52" t="s">
        <v>72</v>
      </c>
      <c r="L52" s="1">
        <v>231550</v>
      </c>
      <c r="M52" s="1">
        <v>832212</v>
      </c>
      <c r="N52" s="1">
        <v>3600</v>
      </c>
      <c r="O52" t="s">
        <v>71</v>
      </c>
    </row>
    <row r="53" spans="1:15" x14ac:dyDescent="0.3">
      <c r="A53" t="s">
        <v>194</v>
      </c>
      <c r="B53" s="2" t="s">
        <v>9</v>
      </c>
      <c r="C53" t="s">
        <v>74</v>
      </c>
      <c r="D53" s="1">
        <v>114800</v>
      </c>
      <c r="E53" s="1">
        <v>313085</v>
      </c>
      <c r="F53" s="1">
        <v>3148</v>
      </c>
      <c r="J53" t="s">
        <v>14</v>
      </c>
      <c r="K53" t="s">
        <v>75</v>
      </c>
      <c r="L53" s="1">
        <v>193300</v>
      </c>
      <c r="M53" s="1">
        <v>741156</v>
      </c>
      <c r="N53" s="1">
        <v>3900</v>
      </c>
      <c r="O53" t="s">
        <v>73</v>
      </c>
    </row>
    <row r="54" spans="1:15" x14ac:dyDescent="0.3">
      <c r="A54" t="s">
        <v>194</v>
      </c>
      <c r="B54" s="2" t="s">
        <v>8</v>
      </c>
      <c r="C54" t="s">
        <v>74</v>
      </c>
      <c r="D54" s="1">
        <v>117500</v>
      </c>
      <c r="E54" s="1">
        <v>378297</v>
      </c>
      <c r="F54" s="1">
        <v>3242</v>
      </c>
      <c r="J54" t="s">
        <v>14</v>
      </c>
      <c r="K54" t="s">
        <v>74</v>
      </c>
      <c r="L54" s="1">
        <v>103000</v>
      </c>
      <c r="M54" s="1">
        <v>374329</v>
      </c>
      <c r="N54" s="1">
        <v>3700</v>
      </c>
      <c r="O54" t="s">
        <v>59</v>
      </c>
    </row>
    <row r="55" spans="1:15" x14ac:dyDescent="0.3">
      <c r="A55" t="s">
        <v>194</v>
      </c>
      <c r="B55" s="2" t="s">
        <v>7</v>
      </c>
      <c r="C55" t="s">
        <v>74</v>
      </c>
      <c r="D55" s="1">
        <v>117500</v>
      </c>
      <c r="E55" s="1">
        <v>410300</v>
      </c>
      <c r="F55" s="1">
        <v>3492</v>
      </c>
      <c r="J55" t="s">
        <v>14</v>
      </c>
      <c r="K55" t="s">
        <v>69</v>
      </c>
      <c r="L55" s="1">
        <v>77640</v>
      </c>
      <c r="M55" s="1">
        <v>270690</v>
      </c>
      <c r="N55" s="1">
        <v>3500</v>
      </c>
      <c r="O55" t="s">
        <v>60</v>
      </c>
    </row>
    <row r="56" spans="1:15" x14ac:dyDescent="0.3">
      <c r="A56" t="s">
        <v>194</v>
      </c>
      <c r="B56" s="2" t="s">
        <v>6</v>
      </c>
      <c r="C56" t="s">
        <v>74</v>
      </c>
      <c r="D56" s="1">
        <v>114075</v>
      </c>
      <c r="E56" s="1">
        <v>365040</v>
      </c>
      <c r="F56" s="1">
        <v>3200</v>
      </c>
      <c r="J56" t="s">
        <v>14</v>
      </c>
      <c r="K56" t="s">
        <v>62</v>
      </c>
      <c r="L56" s="1">
        <v>68080</v>
      </c>
      <c r="M56" s="1">
        <v>265512</v>
      </c>
      <c r="N56" s="1">
        <v>3900</v>
      </c>
      <c r="O56" t="s">
        <v>66</v>
      </c>
    </row>
    <row r="57" spans="1:15" x14ac:dyDescent="0.3">
      <c r="A57" t="s">
        <v>194</v>
      </c>
      <c r="B57" s="2" t="s">
        <v>5</v>
      </c>
      <c r="C57" t="s">
        <v>74</v>
      </c>
      <c r="D57" s="1">
        <v>125250</v>
      </c>
      <c r="E57" s="1">
        <v>343530</v>
      </c>
      <c r="F57" s="1">
        <v>2743</v>
      </c>
      <c r="J57" t="s">
        <v>14</v>
      </c>
      <c r="K57" t="s">
        <v>70</v>
      </c>
      <c r="L57" s="1">
        <v>60000</v>
      </c>
      <c r="M57" s="1">
        <v>210000</v>
      </c>
      <c r="N57" s="1">
        <v>3500</v>
      </c>
      <c r="O57" t="s">
        <v>67</v>
      </c>
    </row>
    <row r="58" spans="1:15" x14ac:dyDescent="0.3">
      <c r="A58" t="s">
        <v>194</v>
      </c>
      <c r="B58" s="2" t="s">
        <v>4</v>
      </c>
      <c r="C58" t="s">
        <v>74</v>
      </c>
      <c r="D58" s="1">
        <v>135500</v>
      </c>
      <c r="E58" s="1">
        <v>388420</v>
      </c>
      <c r="F58" s="1">
        <v>2886</v>
      </c>
      <c r="J58" t="s">
        <v>14</v>
      </c>
      <c r="K58" t="s">
        <v>68</v>
      </c>
      <c r="L58" s="1">
        <v>35000</v>
      </c>
      <c r="M58" s="1">
        <v>122500</v>
      </c>
      <c r="N58" s="1">
        <v>3500</v>
      </c>
      <c r="O58" t="s">
        <v>61</v>
      </c>
    </row>
    <row r="59" spans="1:15" x14ac:dyDescent="0.3">
      <c r="A59" t="s">
        <v>194</v>
      </c>
      <c r="B59" s="2" t="s">
        <v>3</v>
      </c>
      <c r="C59" t="s">
        <v>74</v>
      </c>
      <c r="D59" s="1">
        <v>158000</v>
      </c>
      <c r="E59" s="1">
        <v>493145</v>
      </c>
      <c r="F59" s="1">
        <v>3283</v>
      </c>
      <c r="J59" t="s">
        <v>14</v>
      </c>
      <c r="K59" t="s">
        <v>58</v>
      </c>
      <c r="L59" s="1">
        <v>22030</v>
      </c>
      <c r="M59" s="1">
        <v>74460</v>
      </c>
      <c r="N59" s="1">
        <v>3400</v>
      </c>
      <c r="O59" t="s">
        <v>63</v>
      </c>
    </row>
    <row r="60" spans="1:15" x14ac:dyDescent="0.3">
      <c r="A60" t="s">
        <v>194</v>
      </c>
      <c r="B60" s="2" t="s">
        <v>18</v>
      </c>
      <c r="C60" t="s">
        <v>41</v>
      </c>
      <c r="D60" s="1">
        <v>4000</v>
      </c>
      <c r="E60" s="1">
        <v>10000</v>
      </c>
      <c r="F60" s="1">
        <v>2500</v>
      </c>
      <c r="J60" t="s">
        <v>14</v>
      </c>
      <c r="K60" t="s">
        <v>56</v>
      </c>
      <c r="L60" s="1">
        <v>15000</v>
      </c>
      <c r="M60" s="1">
        <v>52500</v>
      </c>
      <c r="N60" s="1">
        <v>3500</v>
      </c>
      <c r="O60" t="s">
        <v>57</v>
      </c>
    </row>
    <row r="61" spans="1:15" x14ac:dyDescent="0.3">
      <c r="A61" t="s">
        <v>194</v>
      </c>
      <c r="B61" s="2" t="s">
        <v>17</v>
      </c>
      <c r="C61" t="s">
        <v>41</v>
      </c>
      <c r="D61" s="1">
        <v>3000</v>
      </c>
      <c r="E61" s="1">
        <v>8100</v>
      </c>
      <c r="F61" s="1">
        <v>2700</v>
      </c>
      <c r="J61" t="s">
        <v>14</v>
      </c>
      <c r="K61" t="s">
        <v>64</v>
      </c>
      <c r="L61" s="1">
        <v>13740</v>
      </c>
      <c r="M61" s="1">
        <v>49464</v>
      </c>
      <c r="N61" s="1">
        <v>3600</v>
      </c>
      <c r="O61" t="s">
        <v>50</v>
      </c>
    </row>
    <row r="62" spans="1:15" x14ac:dyDescent="0.3">
      <c r="A62" t="s">
        <v>194</v>
      </c>
      <c r="B62" s="2" t="s">
        <v>14</v>
      </c>
      <c r="C62" t="s">
        <v>41</v>
      </c>
      <c r="D62" s="1">
        <v>3500</v>
      </c>
      <c r="E62" s="1">
        <v>12250</v>
      </c>
      <c r="F62" s="1">
        <v>3500</v>
      </c>
      <c r="J62" t="s">
        <v>14</v>
      </c>
      <c r="K62" t="s">
        <v>65</v>
      </c>
      <c r="L62" s="1">
        <v>10000</v>
      </c>
      <c r="M62" s="1">
        <v>35000</v>
      </c>
      <c r="N62" s="1">
        <v>3500</v>
      </c>
      <c r="O62" t="s">
        <v>49</v>
      </c>
    </row>
    <row r="63" spans="1:15" x14ac:dyDescent="0.3">
      <c r="A63" t="s">
        <v>194</v>
      </c>
      <c r="B63" s="2" t="s">
        <v>12</v>
      </c>
      <c r="C63" t="s">
        <v>41</v>
      </c>
      <c r="D63" s="1">
        <v>4000</v>
      </c>
      <c r="E63" s="1">
        <v>11200</v>
      </c>
      <c r="F63" s="1">
        <v>2800</v>
      </c>
      <c r="J63" t="s">
        <v>14</v>
      </c>
      <c r="K63" t="s">
        <v>51</v>
      </c>
      <c r="L63" s="1">
        <v>8500</v>
      </c>
      <c r="M63" s="1">
        <v>25947</v>
      </c>
      <c r="N63" s="1">
        <v>3100</v>
      </c>
      <c r="O63" t="s">
        <v>53</v>
      </c>
    </row>
    <row r="64" spans="1:15" x14ac:dyDescent="0.3">
      <c r="A64" t="s">
        <v>194</v>
      </c>
      <c r="B64" s="2" t="s">
        <v>9</v>
      </c>
      <c r="C64" t="s">
        <v>41</v>
      </c>
      <c r="D64" s="1">
        <v>4000</v>
      </c>
      <c r="E64" s="1">
        <v>14000</v>
      </c>
      <c r="F64" s="1">
        <v>3500</v>
      </c>
      <c r="J64" t="s">
        <v>14</v>
      </c>
      <c r="K64" t="s">
        <v>48</v>
      </c>
      <c r="L64" s="1">
        <v>6000</v>
      </c>
      <c r="M64" s="1">
        <v>16800</v>
      </c>
      <c r="N64" s="1">
        <v>2800</v>
      </c>
      <c r="O64" t="s">
        <v>35</v>
      </c>
    </row>
    <row r="65" spans="1:15" x14ac:dyDescent="0.3">
      <c r="A65" t="s">
        <v>194</v>
      </c>
      <c r="B65" s="2" t="s">
        <v>8</v>
      </c>
      <c r="C65" t="s">
        <v>41</v>
      </c>
      <c r="D65" s="1">
        <v>4000</v>
      </c>
      <c r="E65" s="1">
        <v>12000</v>
      </c>
      <c r="F65" s="1">
        <v>3000</v>
      </c>
      <c r="J65" t="s">
        <v>14</v>
      </c>
      <c r="K65" t="s">
        <v>54</v>
      </c>
      <c r="L65" s="1">
        <v>5000</v>
      </c>
      <c r="M65" s="1">
        <v>15000</v>
      </c>
      <c r="N65" s="1">
        <v>3000</v>
      </c>
      <c r="O65" t="s">
        <v>47</v>
      </c>
    </row>
    <row r="66" spans="1:15" x14ac:dyDescent="0.3">
      <c r="A66" t="s">
        <v>194</v>
      </c>
      <c r="B66" s="2" t="s">
        <v>7</v>
      </c>
      <c r="C66" t="s">
        <v>41</v>
      </c>
      <c r="D66" s="1">
        <v>4000</v>
      </c>
      <c r="E66" s="1">
        <v>12000</v>
      </c>
      <c r="F66" s="1">
        <v>3000</v>
      </c>
      <c r="J66" t="s">
        <v>14</v>
      </c>
      <c r="K66" t="s">
        <v>41</v>
      </c>
      <c r="L66" s="1">
        <v>3500</v>
      </c>
      <c r="M66" s="1">
        <v>12250</v>
      </c>
      <c r="N66" s="1">
        <v>3500</v>
      </c>
      <c r="O66" t="s">
        <v>45</v>
      </c>
    </row>
    <row r="67" spans="1:15" x14ac:dyDescent="0.3">
      <c r="A67" t="s">
        <v>194</v>
      </c>
      <c r="B67" s="2" t="s">
        <v>6</v>
      </c>
      <c r="C67" t="s">
        <v>41</v>
      </c>
      <c r="D67" s="1">
        <v>4500</v>
      </c>
      <c r="E67" s="1">
        <v>11250</v>
      </c>
      <c r="F67" s="1">
        <v>2500</v>
      </c>
      <c r="J67" t="s">
        <v>14</v>
      </c>
      <c r="K67" t="s">
        <v>33</v>
      </c>
      <c r="L67" s="1">
        <v>3500</v>
      </c>
      <c r="M67" s="1">
        <v>12250</v>
      </c>
      <c r="N67" s="1">
        <v>3500</v>
      </c>
      <c r="O67" t="s">
        <v>43</v>
      </c>
    </row>
    <row r="68" spans="1:15" x14ac:dyDescent="0.3">
      <c r="A68" t="s">
        <v>194</v>
      </c>
      <c r="B68" s="2" t="s">
        <v>5</v>
      </c>
      <c r="C68" t="s">
        <v>41</v>
      </c>
      <c r="D68" s="1">
        <v>5000</v>
      </c>
      <c r="E68" s="1">
        <v>7500</v>
      </c>
      <c r="F68" s="1">
        <v>1500</v>
      </c>
      <c r="J68" t="s">
        <v>14</v>
      </c>
      <c r="K68" t="s">
        <v>44</v>
      </c>
      <c r="L68" s="1">
        <v>4000</v>
      </c>
      <c r="M68" s="1">
        <v>12000</v>
      </c>
      <c r="N68" s="1">
        <v>3000</v>
      </c>
      <c r="O68" t="s">
        <v>39</v>
      </c>
    </row>
    <row r="69" spans="1:15" x14ac:dyDescent="0.3">
      <c r="A69" t="s">
        <v>194</v>
      </c>
      <c r="B69" s="2" t="s">
        <v>4</v>
      </c>
      <c r="C69" t="s">
        <v>41</v>
      </c>
      <c r="D69" s="1">
        <v>5000</v>
      </c>
      <c r="E69" s="1">
        <v>15162</v>
      </c>
      <c r="F69" s="1">
        <v>3038</v>
      </c>
      <c r="J69" t="s">
        <v>14</v>
      </c>
      <c r="K69" t="s">
        <v>37</v>
      </c>
      <c r="L69" s="1">
        <v>3500</v>
      </c>
      <c r="M69" s="1">
        <v>11492</v>
      </c>
      <c r="N69" s="1">
        <v>3400</v>
      </c>
      <c r="O69" t="s">
        <v>40</v>
      </c>
    </row>
    <row r="70" spans="1:15" x14ac:dyDescent="0.3">
      <c r="A70" t="s">
        <v>194</v>
      </c>
      <c r="B70" s="2" t="s">
        <v>3</v>
      </c>
      <c r="C70" t="s">
        <v>41</v>
      </c>
      <c r="D70" s="1">
        <v>5800</v>
      </c>
      <c r="E70" s="1">
        <v>13244</v>
      </c>
      <c r="F70" s="1">
        <v>2340</v>
      </c>
      <c r="J70" t="s">
        <v>14</v>
      </c>
      <c r="K70" t="s">
        <v>42</v>
      </c>
      <c r="L70" s="1">
        <v>3000</v>
      </c>
      <c r="M70" s="1">
        <v>10500</v>
      </c>
      <c r="N70" s="1">
        <v>3500</v>
      </c>
      <c r="O70" t="s">
        <v>34</v>
      </c>
    </row>
    <row r="71" spans="1:15" x14ac:dyDescent="0.3">
      <c r="A71" t="s">
        <v>194</v>
      </c>
      <c r="B71" s="2" t="s">
        <v>18</v>
      </c>
      <c r="C71" t="s">
        <v>48</v>
      </c>
      <c r="D71" s="1">
        <v>5000</v>
      </c>
      <c r="E71" s="1">
        <v>10000</v>
      </c>
      <c r="F71" s="1">
        <v>2000</v>
      </c>
      <c r="J71" t="s">
        <v>14</v>
      </c>
      <c r="K71" t="s">
        <v>52</v>
      </c>
      <c r="L71" s="1">
        <v>2500</v>
      </c>
      <c r="M71" s="1">
        <v>7000</v>
      </c>
      <c r="N71" s="1">
        <v>2800</v>
      </c>
      <c r="O71" t="s">
        <v>32</v>
      </c>
    </row>
    <row r="72" spans="1:15" x14ac:dyDescent="0.3">
      <c r="A72" t="s">
        <v>194</v>
      </c>
      <c r="B72" s="2" t="s">
        <v>17</v>
      </c>
      <c r="C72" t="s">
        <v>48</v>
      </c>
      <c r="D72" s="1">
        <v>5000</v>
      </c>
      <c r="E72" s="1">
        <v>10500</v>
      </c>
      <c r="F72" s="1">
        <v>2100</v>
      </c>
      <c r="J72" t="s">
        <v>14</v>
      </c>
      <c r="K72" t="s">
        <v>31</v>
      </c>
      <c r="L72" s="1">
        <v>2000</v>
      </c>
      <c r="M72" s="1">
        <v>6000</v>
      </c>
      <c r="N72" s="1">
        <v>3000</v>
      </c>
      <c r="O72" t="s">
        <v>36</v>
      </c>
    </row>
    <row r="73" spans="1:15" x14ac:dyDescent="0.3">
      <c r="A73" t="s">
        <v>194</v>
      </c>
      <c r="B73" s="2" t="s">
        <v>14</v>
      </c>
      <c r="C73" t="s">
        <v>48</v>
      </c>
      <c r="D73" s="1">
        <v>6000</v>
      </c>
      <c r="E73" s="1">
        <v>16800</v>
      </c>
      <c r="F73" s="1">
        <v>2800</v>
      </c>
      <c r="J73" t="s">
        <v>14</v>
      </c>
      <c r="K73" t="s">
        <v>38</v>
      </c>
      <c r="L73" s="1">
        <v>1000</v>
      </c>
      <c r="M73" s="1">
        <v>2800</v>
      </c>
      <c r="N73" s="1">
        <v>2800</v>
      </c>
      <c r="O73" t="s">
        <v>30</v>
      </c>
    </row>
    <row r="74" spans="1:15" x14ac:dyDescent="0.3">
      <c r="A74" t="s">
        <v>194</v>
      </c>
      <c r="B74" s="2" t="s">
        <v>12</v>
      </c>
      <c r="C74" t="s">
        <v>48</v>
      </c>
      <c r="D74" s="1">
        <v>6000</v>
      </c>
      <c r="E74" s="1">
        <v>15000</v>
      </c>
      <c r="F74" s="1">
        <v>2500</v>
      </c>
      <c r="J74" s="53" t="s">
        <v>14</v>
      </c>
      <c r="K74" s="11" t="s">
        <v>192</v>
      </c>
      <c r="L74" s="9">
        <v>871840</v>
      </c>
      <c r="M74" s="9">
        <v>3159862</v>
      </c>
      <c r="N74" s="9">
        <v>3650</v>
      </c>
    </row>
    <row r="75" spans="1:15" x14ac:dyDescent="0.3">
      <c r="A75" t="s">
        <v>194</v>
      </c>
      <c r="B75" s="2" t="s">
        <v>9</v>
      </c>
      <c r="C75" t="s">
        <v>48</v>
      </c>
      <c r="D75" s="1">
        <v>5000</v>
      </c>
      <c r="E75" s="1">
        <v>17500</v>
      </c>
      <c r="F75" s="1">
        <v>3500</v>
      </c>
      <c r="J75" s="11" t="s">
        <v>128</v>
      </c>
      <c r="K75" s="11" t="s">
        <v>82</v>
      </c>
      <c r="L75" s="9" t="s">
        <v>135</v>
      </c>
      <c r="M75" s="9" t="s">
        <v>130</v>
      </c>
      <c r="N75" s="9" t="s">
        <v>129</v>
      </c>
    </row>
    <row r="76" spans="1:15" x14ac:dyDescent="0.3">
      <c r="A76" t="s">
        <v>194</v>
      </c>
      <c r="B76" s="2" t="s">
        <v>8</v>
      </c>
      <c r="C76" t="s">
        <v>48</v>
      </c>
      <c r="D76" s="1">
        <v>5000</v>
      </c>
      <c r="E76" s="1">
        <v>15000</v>
      </c>
      <c r="F76" s="1">
        <v>3000</v>
      </c>
      <c r="J76" t="s">
        <v>12</v>
      </c>
      <c r="K76" t="s">
        <v>72</v>
      </c>
      <c r="L76" s="1">
        <v>240000</v>
      </c>
      <c r="M76" s="1">
        <v>660380</v>
      </c>
      <c r="N76" s="1">
        <v>2800</v>
      </c>
      <c r="O76" t="s">
        <v>71</v>
      </c>
    </row>
    <row r="77" spans="1:15" x14ac:dyDescent="0.3">
      <c r="A77" t="s">
        <v>194</v>
      </c>
      <c r="B77" s="2" t="s">
        <v>7</v>
      </c>
      <c r="C77" t="s">
        <v>48</v>
      </c>
      <c r="D77" s="1">
        <v>5500</v>
      </c>
      <c r="E77" s="1">
        <v>16500</v>
      </c>
      <c r="F77" s="1">
        <v>3000</v>
      </c>
      <c r="J77" t="s">
        <v>12</v>
      </c>
      <c r="K77" t="s">
        <v>75</v>
      </c>
      <c r="L77" s="1">
        <v>195000</v>
      </c>
      <c r="M77" s="1">
        <v>526500</v>
      </c>
      <c r="N77" s="1">
        <v>2700</v>
      </c>
      <c r="O77" t="s">
        <v>73</v>
      </c>
    </row>
    <row r="78" spans="1:15" x14ac:dyDescent="0.3">
      <c r="A78" t="s">
        <v>194</v>
      </c>
      <c r="B78" s="2" t="s">
        <v>6</v>
      </c>
      <c r="C78" t="s">
        <v>48</v>
      </c>
      <c r="D78" s="1">
        <v>6500</v>
      </c>
      <c r="E78" s="1">
        <v>16250</v>
      </c>
      <c r="F78" s="1">
        <v>2500</v>
      </c>
      <c r="J78" t="s">
        <v>12</v>
      </c>
      <c r="K78" t="s">
        <v>74</v>
      </c>
      <c r="L78" s="1">
        <v>104000</v>
      </c>
      <c r="M78" s="1">
        <v>249600</v>
      </c>
      <c r="N78" s="1">
        <v>2400</v>
      </c>
      <c r="O78" t="s">
        <v>59</v>
      </c>
    </row>
    <row r="79" spans="1:15" x14ac:dyDescent="0.3">
      <c r="A79" t="s">
        <v>194</v>
      </c>
      <c r="B79" s="2" t="s">
        <v>5</v>
      </c>
      <c r="C79" t="s">
        <v>48</v>
      </c>
      <c r="D79" s="1">
        <v>7000</v>
      </c>
      <c r="E79" s="1">
        <v>10500</v>
      </c>
      <c r="F79" s="1">
        <v>1500</v>
      </c>
      <c r="J79" t="s">
        <v>12</v>
      </c>
      <c r="K79" t="s">
        <v>62</v>
      </c>
      <c r="L79" s="1">
        <v>69000</v>
      </c>
      <c r="M79" s="1">
        <v>227700</v>
      </c>
      <c r="N79" s="1">
        <v>3300</v>
      </c>
      <c r="O79" t="s">
        <v>60</v>
      </c>
    </row>
    <row r="80" spans="1:15" x14ac:dyDescent="0.3">
      <c r="A80" t="s">
        <v>194</v>
      </c>
      <c r="B80" s="2" t="s">
        <v>4</v>
      </c>
      <c r="C80" t="s">
        <v>48</v>
      </c>
      <c r="D80" s="1">
        <v>7000</v>
      </c>
      <c r="E80" s="1">
        <v>21429</v>
      </c>
      <c r="F80" s="1">
        <v>3066</v>
      </c>
      <c r="J80" t="s">
        <v>12</v>
      </c>
      <c r="K80" t="s">
        <v>70</v>
      </c>
      <c r="L80" s="1">
        <v>65000</v>
      </c>
      <c r="M80" s="1">
        <v>195000</v>
      </c>
      <c r="N80" s="1">
        <v>3000</v>
      </c>
      <c r="O80" t="s">
        <v>66</v>
      </c>
    </row>
    <row r="81" spans="1:15" x14ac:dyDescent="0.3">
      <c r="A81" t="s">
        <v>194</v>
      </c>
      <c r="B81" s="2" t="s">
        <v>3</v>
      </c>
      <c r="C81" t="s">
        <v>48</v>
      </c>
      <c r="D81" s="1">
        <v>8100</v>
      </c>
      <c r="E81" s="1">
        <v>18561</v>
      </c>
      <c r="F81" s="1">
        <v>2329</v>
      </c>
      <c r="J81" t="s">
        <v>12</v>
      </c>
      <c r="K81" t="s">
        <v>69</v>
      </c>
      <c r="L81" s="1">
        <v>80000</v>
      </c>
      <c r="M81" s="1">
        <v>165585</v>
      </c>
      <c r="N81" s="1">
        <v>2100</v>
      </c>
      <c r="O81" t="s">
        <v>67</v>
      </c>
    </row>
    <row r="82" spans="1:15" x14ac:dyDescent="0.3">
      <c r="A82" t="s">
        <v>194</v>
      </c>
      <c r="B82" s="2" t="s">
        <v>18</v>
      </c>
      <c r="C82" t="s">
        <v>51</v>
      </c>
      <c r="D82" s="1">
        <v>8500</v>
      </c>
      <c r="E82" s="1">
        <v>19200</v>
      </c>
      <c r="F82" s="1">
        <v>2400</v>
      </c>
      <c r="J82" t="s">
        <v>12</v>
      </c>
      <c r="K82" t="s">
        <v>68</v>
      </c>
      <c r="L82" s="1">
        <v>35000</v>
      </c>
      <c r="M82" s="1">
        <v>105000</v>
      </c>
      <c r="N82" s="1">
        <v>3000</v>
      </c>
      <c r="O82" t="s">
        <v>61</v>
      </c>
    </row>
    <row r="83" spans="1:15" x14ac:dyDescent="0.3">
      <c r="A83" t="s">
        <v>194</v>
      </c>
      <c r="B83" s="2" t="s">
        <v>17</v>
      </c>
      <c r="C83" t="s">
        <v>51</v>
      </c>
      <c r="D83" s="1">
        <v>8500</v>
      </c>
      <c r="E83" s="1">
        <v>18700</v>
      </c>
      <c r="F83" s="1">
        <v>2200</v>
      </c>
      <c r="J83" t="s">
        <v>12</v>
      </c>
      <c r="K83" t="s">
        <v>65</v>
      </c>
      <c r="L83" s="1">
        <v>12000</v>
      </c>
      <c r="M83" s="1">
        <v>36000</v>
      </c>
      <c r="N83" s="1">
        <v>3000</v>
      </c>
      <c r="O83" t="s">
        <v>63</v>
      </c>
    </row>
    <row r="84" spans="1:15" x14ac:dyDescent="0.3">
      <c r="A84" t="s">
        <v>194</v>
      </c>
      <c r="B84" s="2" t="s">
        <v>14</v>
      </c>
      <c r="C84" t="s">
        <v>51</v>
      </c>
      <c r="D84" s="1">
        <v>8500</v>
      </c>
      <c r="E84" s="1">
        <v>25947</v>
      </c>
      <c r="F84" s="1">
        <v>3100</v>
      </c>
      <c r="J84" t="s">
        <v>12</v>
      </c>
      <c r="K84" t="s">
        <v>58</v>
      </c>
      <c r="L84" s="1">
        <v>24000</v>
      </c>
      <c r="M84" s="1">
        <v>35808</v>
      </c>
      <c r="N84" s="1">
        <v>1600</v>
      </c>
      <c r="O84" t="s">
        <v>57</v>
      </c>
    </row>
    <row r="85" spans="1:15" x14ac:dyDescent="0.3">
      <c r="A85" t="s">
        <v>194</v>
      </c>
      <c r="B85" s="2" t="s">
        <v>12</v>
      </c>
      <c r="C85" t="s">
        <v>51</v>
      </c>
      <c r="D85" s="1">
        <v>8500</v>
      </c>
      <c r="E85" s="1">
        <v>22599</v>
      </c>
      <c r="F85" s="1">
        <v>2700</v>
      </c>
      <c r="J85" t="s">
        <v>12</v>
      </c>
      <c r="K85" t="s">
        <v>51</v>
      </c>
      <c r="L85" s="1">
        <v>8500</v>
      </c>
      <c r="M85" s="1">
        <v>22599</v>
      </c>
      <c r="N85" s="1">
        <v>2700</v>
      </c>
      <c r="O85" t="s">
        <v>50</v>
      </c>
    </row>
    <row r="86" spans="1:15" x14ac:dyDescent="0.3">
      <c r="A86" t="s">
        <v>194</v>
      </c>
      <c r="B86" s="2" t="s">
        <v>9</v>
      </c>
      <c r="C86" t="s">
        <v>51</v>
      </c>
      <c r="D86" s="1">
        <v>8415</v>
      </c>
      <c r="E86" s="1">
        <v>24075</v>
      </c>
      <c r="F86" s="1">
        <v>2934</v>
      </c>
      <c r="J86" t="s">
        <v>12</v>
      </c>
      <c r="K86" t="s">
        <v>56</v>
      </c>
      <c r="L86" s="1">
        <v>15000</v>
      </c>
      <c r="M86" s="1">
        <v>22500</v>
      </c>
      <c r="N86" s="1">
        <v>1500</v>
      </c>
      <c r="O86" t="s">
        <v>49</v>
      </c>
    </row>
    <row r="87" spans="1:15" x14ac:dyDescent="0.3">
      <c r="A87" t="s">
        <v>194</v>
      </c>
      <c r="B87" s="2" t="s">
        <v>8</v>
      </c>
      <c r="C87" t="s">
        <v>51</v>
      </c>
      <c r="D87" s="1">
        <v>8020</v>
      </c>
      <c r="E87" s="1">
        <v>24764</v>
      </c>
      <c r="F87" s="1">
        <v>3171</v>
      </c>
      <c r="J87" t="s">
        <v>12</v>
      </c>
      <c r="K87" t="s">
        <v>64</v>
      </c>
      <c r="L87" s="1">
        <v>13740</v>
      </c>
      <c r="M87" s="1">
        <v>21984</v>
      </c>
      <c r="N87" s="1">
        <v>1600</v>
      </c>
      <c r="O87" t="s">
        <v>53</v>
      </c>
    </row>
    <row r="88" spans="1:15" x14ac:dyDescent="0.3">
      <c r="A88" t="s">
        <v>194</v>
      </c>
      <c r="B88" s="2" t="s">
        <v>7</v>
      </c>
      <c r="C88" t="s">
        <v>51</v>
      </c>
      <c r="D88" s="1">
        <v>10200</v>
      </c>
      <c r="E88" s="1">
        <v>30600</v>
      </c>
      <c r="F88" s="1">
        <v>3000</v>
      </c>
      <c r="J88" t="s">
        <v>12</v>
      </c>
      <c r="K88" t="s">
        <v>48</v>
      </c>
      <c r="L88" s="1">
        <v>6000</v>
      </c>
      <c r="M88" s="1">
        <v>15000</v>
      </c>
      <c r="N88" s="1">
        <v>2500</v>
      </c>
      <c r="O88" t="s">
        <v>35</v>
      </c>
    </row>
    <row r="89" spans="1:15" x14ac:dyDescent="0.3">
      <c r="A89" t="s">
        <v>194</v>
      </c>
      <c r="B89" s="2" t="s">
        <v>6</v>
      </c>
      <c r="C89" t="s">
        <v>51</v>
      </c>
      <c r="D89" s="1">
        <v>10200</v>
      </c>
      <c r="E89" s="1">
        <v>30530</v>
      </c>
      <c r="F89" s="1">
        <v>2993</v>
      </c>
      <c r="J89" t="s">
        <v>12</v>
      </c>
      <c r="K89" t="s">
        <v>54</v>
      </c>
      <c r="L89" s="1">
        <v>5000</v>
      </c>
      <c r="M89" s="1">
        <v>12500</v>
      </c>
      <c r="N89" s="1">
        <v>2500</v>
      </c>
      <c r="O89" t="s">
        <v>47</v>
      </c>
    </row>
    <row r="90" spans="1:15" x14ac:dyDescent="0.3">
      <c r="A90" t="s">
        <v>194</v>
      </c>
      <c r="B90" s="2" t="s">
        <v>5</v>
      </c>
      <c r="C90" t="s">
        <v>51</v>
      </c>
      <c r="D90" s="1">
        <v>20200</v>
      </c>
      <c r="E90" s="1">
        <v>51795</v>
      </c>
      <c r="F90" s="1">
        <v>2564</v>
      </c>
      <c r="J90" t="s">
        <v>12</v>
      </c>
      <c r="K90" t="s">
        <v>33</v>
      </c>
      <c r="L90" s="1">
        <v>4000</v>
      </c>
      <c r="M90" s="1">
        <v>12000</v>
      </c>
      <c r="N90" s="1">
        <v>3000</v>
      </c>
      <c r="O90" t="s">
        <v>45</v>
      </c>
    </row>
    <row r="91" spans="1:15" x14ac:dyDescent="0.3">
      <c r="A91" t="s">
        <v>194</v>
      </c>
      <c r="B91" s="2" t="s">
        <v>4</v>
      </c>
      <c r="C91" t="s">
        <v>51</v>
      </c>
      <c r="D91" s="1">
        <v>22400</v>
      </c>
      <c r="E91" s="1">
        <v>50798</v>
      </c>
      <c r="F91" s="1">
        <v>2286</v>
      </c>
      <c r="J91" t="s">
        <v>12</v>
      </c>
      <c r="K91" t="s">
        <v>41</v>
      </c>
      <c r="L91" s="1">
        <v>4000</v>
      </c>
      <c r="M91" s="1">
        <v>11200</v>
      </c>
      <c r="N91" s="1">
        <v>2800</v>
      </c>
      <c r="O91" t="s">
        <v>43</v>
      </c>
    </row>
    <row r="92" spans="1:15" x14ac:dyDescent="0.3">
      <c r="A92" t="s">
        <v>194</v>
      </c>
      <c r="B92" s="2" t="s">
        <v>3</v>
      </c>
      <c r="C92" t="s">
        <v>51</v>
      </c>
      <c r="D92" s="1">
        <v>26650</v>
      </c>
      <c r="E92" s="1">
        <v>22052</v>
      </c>
      <c r="F92" s="1">
        <v>1095</v>
      </c>
      <c r="J92" t="s">
        <v>12</v>
      </c>
      <c r="K92" t="s">
        <v>42</v>
      </c>
      <c r="L92" s="1">
        <v>3500</v>
      </c>
      <c r="M92" s="1">
        <v>10500</v>
      </c>
      <c r="N92" s="1">
        <v>3000</v>
      </c>
      <c r="O92" t="s">
        <v>39</v>
      </c>
    </row>
    <row r="93" spans="1:15" x14ac:dyDescent="0.3">
      <c r="A93" t="s">
        <v>194</v>
      </c>
      <c r="B93" s="2" t="s">
        <v>18</v>
      </c>
      <c r="C93" t="s">
        <v>38</v>
      </c>
      <c r="D93" s="1">
        <v>500</v>
      </c>
      <c r="E93" s="1">
        <v>900</v>
      </c>
      <c r="F93" s="1">
        <v>1800</v>
      </c>
      <c r="J93" t="s">
        <v>12</v>
      </c>
      <c r="K93" t="s">
        <v>44</v>
      </c>
      <c r="L93" s="1">
        <v>4000</v>
      </c>
      <c r="M93" s="1">
        <v>10000</v>
      </c>
      <c r="N93" s="1">
        <v>2500</v>
      </c>
      <c r="O93" t="s">
        <v>40</v>
      </c>
    </row>
    <row r="94" spans="1:15" x14ac:dyDescent="0.3">
      <c r="A94" t="s">
        <v>194</v>
      </c>
      <c r="B94" s="2" t="s">
        <v>17</v>
      </c>
      <c r="C94" t="s">
        <v>38</v>
      </c>
      <c r="D94" s="1">
        <v>500</v>
      </c>
      <c r="E94" s="1">
        <v>850</v>
      </c>
      <c r="F94" s="1">
        <v>1700</v>
      </c>
      <c r="J94" t="s">
        <v>12</v>
      </c>
      <c r="K94" t="s">
        <v>31</v>
      </c>
      <c r="L94" s="1">
        <v>2500</v>
      </c>
      <c r="M94" s="1">
        <v>6250</v>
      </c>
      <c r="N94" s="1">
        <v>2500</v>
      </c>
      <c r="O94" t="s">
        <v>34</v>
      </c>
    </row>
    <row r="95" spans="1:15" x14ac:dyDescent="0.3">
      <c r="A95" t="s">
        <v>194</v>
      </c>
      <c r="B95" s="2" t="s">
        <v>14</v>
      </c>
      <c r="C95" t="s">
        <v>38</v>
      </c>
      <c r="D95" s="1">
        <v>1000</v>
      </c>
      <c r="E95" s="1">
        <v>2800</v>
      </c>
      <c r="F95" s="1">
        <v>2800</v>
      </c>
      <c r="J95" t="s">
        <v>12</v>
      </c>
      <c r="K95" t="s">
        <v>52</v>
      </c>
      <c r="L95" s="1">
        <v>2500</v>
      </c>
      <c r="M95" s="1">
        <v>5000</v>
      </c>
      <c r="N95" s="1">
        <v>2000</v>
      </c>
      <c r="O95" t="s">
        <v>32</v>
      </c>
    </row>
    <row r="96" spans="1:15" x14ac:dyDescent="0.3">
      <c r="A96" t="s">
        <v>194</v>
      </c>
      <c r="B96" s="2" t="s">
        <v>12</v>
      </c>
      <c r="C96" t="s">
        <v>38</v>
      </c>
      <c r="D96" s="1">
        <v>1000</v>
      </c>
      <c r="E96" s="1">
        <v>2000</v>
      </c>
      <c r="F96" s="1">
        <v>2000</v>
      </c>
      <c r="J96" t="s">
        <v>12</v>
      </c>
      <c r="K96" t="s">
        <v>38</v>
      </c>
      <c r="L96" s="1">
        <v>1000</v>
      </c>
      <c r="M96" s="1">
        <v>2000</v>
      </c>
      <c r="N96" s="1">
        <v>2000</v>
      </c>
      <c r="O96" t="s">
        <v>36</v>
      </c>
    </row>
    <row r="97" spans="1:15" x14ac:dyDescent="0.3">
      <c r="A97" t="s">
        <v>194</v>
      </c>
      <c r="B97" s="2" t="s">
        <v>9</v>
      </c>
      <c r="C97" t="s">
        <v>38</v>
      </c>
      <c r="D97" s="1">
        <v>1500</v>
      </c>
      <c r="E97" s="1">
        <v>4350</v>
      </c>
      <c r="F97" s="1">
        <v>2900</v>
      </c>
      <c r="J97" t="s">
        <v>12</v>
      </c>
      <c r="K97" t="s">
        <v>25</v>
      </c>
      <c r="L97" s="1">
        <v>500</v>
      </c>
      <c r="M97" s="1">
        <v>550</v>
      </c>
      <c r="N97" s="1">
        <v>1100</v>
      </c>
      <c r="O97" t="s">
        <v>30</v>
      </c>
    </row>
    <row r="98" spans="1:15" x14ac:dyDescent="0.3">
      <c r="A98" t="s">
        <v>194</v>
      </c>
      <c r="B98" s="2" t="s">
        <v>8</v>
      </c>
      <c r="C98" t="s">
        <v>38</v>
      </c>
      <c r="D98" s="1">
        <v>1500</v>
      </c>
      <c r="E98" s="1">
        <v>4500</v>
      </c>
      <c r="F98" s="1">
        <v>3000</v>
      </c>
      <c r="J98" t="s">
        <v>12</v>
      </c>
      <c r="K98" t="s">
        <v>37</v>
      </c>
      <c r="L98" s="1">
        <v>50</v>
      </c>
      <c r="M98" s="1">
        <v>140</v>
      </c>
      <c r="N98" s="1">
        <v>2800</v>
      </c>
      <c r="O98" t="s">
        <v>22</v>
      </c>
    </row>
    <row r="99" spans="1:15" x14ac:dyDescent="0.3">
      <c r="A99" t="s">
        <v>194</v>
      </c>
      <c r="B99" s="2" t="s">
        <v>7</v>
      </c>
      <c r="C99" t="s">
        <v>38</v>
      </c>
      <c r="D99" s="1">
        <v>1500</v>
      </c>
      <c r="E99" s="1">
        <v>4500</v>
      </c>
      <c r="F99" s="1">
        <v>3000</v>
      </c>
      <c r="L99" s="1">
        <f>SUM(L76:L98)</f>
        <v>894290</v>
      </c>
      <c r="M99" s="1">
        <f>SUM(M76:M98)</f>
        <v>2353796</v>
      </c>
    </row>
    <row r="100" spans="1:15" x14ac:dyDescent="0.3">
      <c r="A100" t="s">
        <v>194</v>
      </c>
      <c r="B100" s="2" t="s">
        <v>6</v>
      </c>
      <c r="C100" t="s">
        <v>38</v>
      </c>
      <c r="D100" s="1">
        <v>3500</v>
      </c>
      <c r="E100" s="1">
        <v>8750</v>
      </c>
      <c r="F100" s="1">
        <v>2500</v>
      </c>
      <c r="J100" s="53" t="s">
        <v>12</v>
      </c>
      <c r="K100" s="11" t="s">
        <v>192</v>
      </c>
      <c r="L100" s="9">
        <v>894290</v>
      </c>
      <c r="M100" s="9">
        <v>2353796</v>
      </c>
      <c r="N100" s="9">
        <v>2653</v>
      </c>
    </row>
    <row r="101" spans="1:15" x14ac:dyDescent="0.3">
      <c r="A101" t="s">
        <v>194</v>
      </c>
      <c r="B101" s="2" t="s">
        <v>5</v>
      </c>
      <c r="C101" t="s">
        <v>38</v>
      </c>
      <c r="D101" s="1">
        <v>4500</v>
      </c>
      <c r="E101" s="1">
        <v>6750</v>
      </c>
      <c r="F101" s="1">
        <v>1500</v>
      </c>
      <c r="J101" s="11" t="s">
        <v>128</v>
      </c>
      <c r="K101" s="11" t="s">
        <v>82</v>
      </c>
      <c r="L101" s="9" t="s">
        <v>135</v>
      </c>
      <c r="M101" s="9" t="s">
        <v>130</v>
      </c>
      <c r="N101" s="9" t="s">
        <v>129</v>
      </c>
    </row>
    <row r="102" spans="1:15" x14ac:dyDescent="0.3">
      <c r="A102" t="s">
        <v>194</v>
      </c>
      <c r="B102" s="2" t="s">
        <v>4</v>
      </c>
      <c r="C102" t="s">
        <v>38</v>
      </c>
      <c r="D102" s="1">
        <v>4500</v>
      </c>
      <c r="E102" s="1">
        <v>13608</v>
      </c>
      <c r="F102" s="1">
        <v>3044</v>
      </c>
      <c r="J102" t="s">
        <v>9</v>
      </c>
      <c r="K102" t="s">
        <v>72</v>
      </c>
      <c r="L102" s="1">
        <v>270000</v>
      </c>
      <c r="M102" s="1">
        <v>833846</v>
      </c>
      <c r="N102" s="1">
        <v>3147</v>
      </c>
      <c r="O102" t="s">
        <v>71</v>
      </c>
    </row>
    <row r="103" spans="1:15" x14ac:dyDescent="0.3">
      <c r="A103" t="s">
        <v>194</v>
      </c>
      <c r="B103" s="2" t="s">
        <v>3</v>
      </c>
      <c r="C103" t="s">
        <v>38</v>
      </c>
      <c r="D103" s="1">
        <v>4950</v>
      </c>
      <c r="E103" s="1">
        <v>11040</v>
      </c>
      <c r="F103" s="1">
        <v>2300</v>
      </c>
      <c r="J103" t="s">
        <v>9</v>
      </c>
      <c r="K103" t="s">
        <v>75</v>
      </c>
      <c r="L103" s="1">
        <v>195000</v>
      </c>
      <c r="M103" s="1">
        <v>560169</v>
      </c>
      <c r="N103" s="1">
        <v>3203</v>
      </c>
      <c r="O103" t="s">
        <v>73</v>
      </c>
    </row>
    <row r="104" spans="1:15" x14ac:dyDescent="0.3">
      <c r="A104" t="s">
        <v>194</v>
      </c>
      <c r="B104" s="2" t="s">
        <v>18</v>
      </c>
      <c r="C104" t="s">
        <v>75</v>
      </c>
      <c r="D104" s="1">
        <v>130000</v>
      </c>
      <c r="E104" s="1">
        <v>213900</v>
      </c>
      <c r="F104" s="1">
        <v>2300</v>
      </c>
      <c r="J104" t="s">
        <v>9</v>
      </c>
      <c r="K104" t="s">
        <v>62</v>
      </c>
      <c r="L104" s="1">
        <v>114800</v>
      </c>
      <c r="M104" s="1">
        <v>342323</v>
      </c>
      <c r="N104" s="1">
        <v>3090</v>
      </c>
      <c r="O104" t="s">
        <v>59</v>
      </c>
    </row>
    <row r="105" spans="1:15" x14ac:dyDescent="0.3">
      <c r="A105" t="s">
        <v>194</v>
      </c>
      <c r="B105" s="2" t="s">
        <v>17</v>
      </c>
      <c r="C105" t="s">
        <v>75</v>
      </c>
      <c r="D105" s="1">
        <v>140000</v>
      </c>
      <c r="E105" s="1">
        <v>340200</v>
      </c>
      <c r="F105" s="1">
        <v>2700</v>
      </c>
      <c r="J105" t="s">
        <v>9</v>
      </c>
      <c r="K105" t="s">
        <v>74</v>
      </c>
      <c r="L105" s="1">
        <v>114800</v>
      </c>
      <c r="M105" s="1">
        <v>313085</v>
      </c>
      <c r="N105" s="1">
        <v>3148</v>
      </c>
      <c r="O105" t="s">
        <v>60</v>
      </c>
    </row>
    <row r="106" spans="1:15" x14ac:dyDescent="0.3">
      <c r="A106" t="s">
        <v>194</v>
      </c>
      <c r="B106" s="2" t="s">
        <v>14</v>
      </c>
      <c r="C106" t="s">
        <v>75</v>
      </c>
      <c r="D106" s="1">
        <v>193300</v>
      </c>
      <c r="E106" s="1">
        <v>741156</v>
      </c>
      <c r="F106" s="1">
        <v>3900</v>
      </c>
      <c r="J106" t="s">
        <v>9</v>
      </c>
      <c r="K106" t="s">
        <v>70</v>
      </c>
      <c r="L106" s="1">
        <v>77500</v>
      </c>
      <c r="M106" s="1">
        <v>277050</v>
      </c>
      <c r="N106" s="1">
        <v>3575</v>
      </c>
      <c r="O106" t="s">
        <v>66</v>
      </c>
    </row>
    <row r="107" spans="1:15" x14ac:dyDescent="0.3">
      <c r="A107" t="s">
        <v>194</v>
      </c>
      <c r="B107" s="2" t="s">
        <v>12</v>
      </c>
      <c r="C107" t="s">
        <v>75</v>
      </c>
      <c r="D107" s="1">
        <v>195000</v>
      </c>
      <c r="E107" s="1">
        <v>526500</v>
      </c>
      <c r="F107" s="1">
        <v>2700</v>
      </c>
      <c r="J107" t="s">
        <v>9</v>
      </c>
      <c r="K107" t="s">
        <v>69</v>
      </c>
      <c r="L107" s="1">
        <v>72750</v>
      </c>
      <c r="M107" s="1">
        <v>223939</v>
      </c>
      <c r="N107" s="1">
        <v>3149</v>
      </c>
      <c r="O107" t="s">
        <v>67</v>
      </c>
    </row>
    <row r="108" spans="1:15" x14ac:dyDescent="0.3">
      <c r="A108" t="s">
        <v>194</v>
      </c>
      <c r="B108" s="2" t="s">
        <v>9</v>
      </c>
      <c r="C108" t="s">
        <v>75</v>
      </c>
      <c r="D108" s="1">
        <v>195000</v>
      </c>
      <c r="E108" s="1">
        <v>560169</v>
      </c>
      <c r="F108" s="1">
        <v>3203</v>
      </c>
      <c r="J108" t="s">
        <v>9</v>
      </c>
      <c r="K108" t="s">
        <v>68</v>
      </c>
      <c r="L108" s="1">
        <v>49500</v>
      </c>
      <c r="M108" s="1">
        <v>173250</v>
      </c>
      <c r="N108" s="1">
        <v>3500</v>
      </c>
      <c r="O108" t="s">
        <v>61</v>
      </c>
    </row>
    <row r="109" spans="1:15" x14ac:dyDescent="0.3">
      <c r="A109" t="s">
        <v>194</v>
      </c>
      <c r="B109" s="2" t="s">
        <v>8</v>
      </c>
      <c r="C109" t="s">
        <v>75</v>
      </c>
      <c r="D109" s="1">
        <v>197510</v>
      </c>
      <c r="E109" s="1">
        <v>636252</v>
      </c>
      <c r="F109" s="1">
        <v>3235</v>
      </c>
      <c r="J109" t="s">
        <v>9</v>
      </c>
      <c r="K109" t="s">
        <v>58</v>
      </c>
      <c r="L109" s="1">
        <v>42860</v>
      </c>
      <c r="M109" s="1">
        <v>126262</v>
      </c>
      <c r="N109" s="1">
        <v>3019</v>
      </c>
      <c r="O109" t="s">
        <v>63</v>
      </c>
    </row>
    <row r="110" spans="1:15" x14ac:dyDescent="0.3">
      <c r="A110" t="s">
        <v>194</v>
      </c>
      <c r="B110" s="2" t="s">
        <v>7</v>
      </c>
      <c r="C110" t="s">
        <v>75</v>
      </c>
      <c r="D110" s="1">
        <v>197300</v>
      </c>
      <c r="E110" s="1">
        <v>712400</v>
      </c>
      <c r="F110" s="1">
        <v>3611</v>
      </c>
      <c r="J110" t="s">
        <v>9</v>
      </c>
      <c r="K110" t="s">
        <v>56</v>
      </c>
      <c r="L110" s="1">
        <v>15000</v>
      </c>
      <c r="M110" s="1">
        <v>52527</v>
      </c>
      <c r="N110" s="1">
        <v>3502</v>
      </c>
      <c r="O110" t="s">
        <v>57</v>
      </c>
    </row>
    <row r="111" spans="1:15" x14ac:dyDescent="0.3">
      <c r="A111" t="s">
        <v>194</v>
      </c>
      <c r="B111" s="2" t="s">
        <v>6</v>
      </c>
      <c r="C111" t="s">
        <v>75</v>
      </c>
      <c r="D111" s="1">
        <v>197300</v>
      </c>
      <c r="E111" s="1">
        <v>631360</v>
      </c>
      <c r="F111" s="1">
        <v>3200</v>
      </c>
      <c r="J111" t="s">
        <v>9</v>
      </c>
      <c r="K111" t="s">
        <v>65</v>
      </c>
      <c r="L111" s="1">
        <v>14700</v>
      </c>
      <c r="M111" s="1">
        <v>51450</v>
      </c>
      <c r="N111" s="1">
        <v>3500</v>
      </c>
      <c r="O111" t="s">
        <v>50</v>
      </c>
    </row>
    <row r="112" spans="1:15" x14ac:dyDescent="0.3">
      <c r="A112" t="s">
        <v>194</v>
      </c>
      <c r="B112" s="2" t="s">
        <v>5</v>
      </c>
      <c r="C112" t="s">
        <v>75</v>
      </c>
      <c r="D112" s="1">
        <v>200800</v>
      </c>
      <c r="E112" s="1">
        <v>522368</v>
      </c>
      <c r="F112" s="1">
        <v>2601</v>
      </c>
      <c r="J112" t="s">
        <v>9</v>
      </c>
      <c r="K112" t="s">
        <v>64</v>
      </c>
      <c r="L112" s="1">
        <v>17297</v>
      </c>
      <c r="M112" s="1">
        <v>44449</v>
      </c>
      <c r="N112" s="1">
        <v>2876</v>
      </c>
      <c r="O112" t="s">
        <v>49</v>
      </c>
    </row>
    <row r="113" spans="1:15" x14ac:dyDescent="0.3">
      <c r="A113" t="s">
        <v>194</v>
      </c>
      <c r="B113" s="2" t="s">
        <v>4</v>
      </c>
      <c r="C113" t="s">
        <v>75</v>
      </c>
      <c r="D113" s="1">
        <v>215400</v>
      </c>
      <c r="E113" s="1">
        <v>613265</v>
      </c>
      <c r="F113" s="1">
        <v>2860</v>
      </c>
      <c r="J113" t="s">
        <v>9</v>
      </c>
      <c r="K113" t="s">
        <v>51</v>
      </c>
      <c r="L113" s="1">
        <v>8415</v>
      </c>
      <c r="M113" s="1">
        <v>24075</v>
      </c>
      <c r="N113" s="1">
        <v>2934</v>
      </c>
      <c r="O113" t="s">
        <v>53</v>
      </c>
    </row>
    <row r="114" spans="1:15" x14ac:dyDescent="0.3">
      <c r="A114" t="s">
        <v>194</v>
      </c>
      <c r="B114" s="2" t="s">
        <v>3</v>
      </c>
      <c r="C114" t="s">
        <v>75</v>
      </c>
      <c r="D114" s="1">
        <v>261150</v>
      </c>
      <c r="E114" s="1">
        <v>822003</v>
      </c>
      <c r="F114" s="1">
        <v>3273</v>
      </c>
      <c r="J114" t="s">
        <v>9</v>
      </c>
      <c r="K114" t="s">
        <v>48</v>
      </c>
      <c r="L114" s="1">
        <v>5000</v>
      </c>
      <c r="M114" s="1">
        <v>17500</v>
      </c>
      <c r="N114" s="1">
        <v>3500</v>
      </c>
      <c r="O114" t="s">
        <v>35</v>
      </c>
    </row>
    <row r="115" spans="1:15" x14ac:dyDescent="0.3">
      <c r="A115" t="s">
        <v>194</v>
      </c>
      <c r="B115" s="2" t="s">
        <v>18</v>
      </c>
      <c r="C115" t="s">
        <v>54</v>
      </c>
      <c r="D115" s="1">
        <v>5000</v>
      </c>
      <c r="E115" s="1">
        <v>12500</v>
      </c>
      <c r="F115" s="1">
        <v>2500</v>
      </c>
      <c r="J115" t="s">
        <v>9</v>
      </c>
      <c r="K115" t="s">
        <v>54</v>
      </c>
      <c r="L115" s="1">
        <v>5000</v>
      </c>
      <c r="M115" s="1">
        <v>17500</v>
      </c>
      <c r="N115" s="1">
        <v>3500</v>
      </c>
      <c r="O115" t="s">
        <v>47</v>
      </c>
    </row>
    <row r="116" spans="1:15" x14ac:dyDescent="0.3">
      <c r="A116" t="s">
        <v>194</v>
      </c>
      <c r="B116" s="2" t="s">
        <v>17</v>
      </c>
      <c r="C116" t="s">
        <v>54</v>
      </c>
      <c r="D116" s="1">
        <v>4000</v>
      </c>
      <c r="E116" s="1">
        <v>9600</v>
      </c>
      <c r="F116" s="1">
        <v>2400</v>
      </c>
      <c r="J116" t="s">
        <v>9</v>
      </c>
      <c r="K116" t="s">
        <v>41</v>
      </c>
      <c r="L116" s="1">
        <v>4000</v>
      </c>
      <c r="M116" s="1">
        <v>14000</v>
      </c>
      <c r="N116" s="1">
        <v>3500</v>
      </c>
      <c r="O116" t="s">
        <v>45</v>
      </c>
    </row>
    <row r="117" spans="1:15" x14ac:dyDescent="0.3">
      <c r="A117" t="s">
        <v>194</v>
      </c>
      <c r="B117" s="2" t="s">
        <v>14</v>
      </c>
      <c r="C117" t="s">
        <v>54</v>
      </c>
      <c r="D117" s="1">
        <v>5000</v>
      </c>
      <c r="E117" s="1">
        <v>15000</v>
      </c>
      <c r="F117" s="1">
        <v>3000</v>
      </c>
      <c r="J117" t="s">
        <v>9</v>
      </c>
      <c r="K117" t="s">
        <v>33</v>
      </c>
      <c r="L117" s="1">
        <v>4000</v>
      </c>
      <c r="M117" s="1">
        <v>14000</v>
      </c>
      <c r="N117" s="1">
        <v>3500</v>
      </c>
      <c r="O117" t="s">
        <v>43</v>
      </c>
    </row>
    <row r="118" spans="1:15" x14ac:dyDescent="0.3">
      <c r="A118" t="s">
        <v>194</v>
      </c>
      <c r="B118" s="2" t="s">
        <v>12</v>
      </c>
      <c r="C118" t="s">
        <v>54</v>
      </c>
      <c r="D118" s="1">
        <v>5000</v>
      </c>
      <c r="E118" s="1">
        <v>12500</v>
      </c>
      <c r="F118" s="1">
        <v>2500</v>
      </c>
      <c r="J118" t="s">
        <v>9</v>
      </c>
      <c r="K118" t="s">
        <v>44</v>
      </c>
      <c r="L118" s="1">
        <v>4600</v>
      </c>
      <c r="M118" s="1">
        <v>13800</v>
      </c>
      <c r="N118" s="1">
        <v>3000</v>
      </c>
      <c r="O118" t="s">
        <v>39</v>
      </c>
    </row>
    <row r="119" spans="1:15" x14ac:dyDescent="0.3">
      <c r="A119" t="s">
        <v>194</v>
      </c>
      <c r="B119" s="2" t="s">
        <v>9</v>
      </c>
      <c r="C119" t="s">
        <v>54</v>
      </c>
      <c r="D119" s="1">
        <v>5000</v>
      </c>
      <c r="E119" s="1">
        <v>17500</v>
      </c>
      <c r="F119" s="1">
        <v>3500</v>
      </c>
      <c r="J119" t="s">
        <v>9</v>
      </c>
      <c r="K119" t="s">
        <v>42</v>
      </c>
      <c r="L119" s="1">
        <v>3500</v>
      </c>
      <c r="M119" s="1">
        <v>12180</v>
      </c>
      <c r="N119" s="1">
        <v>3480</v>
      </c>
      <c r="O119" t="s">
        <v>40</v>
      </c>
    </row>
    <row r="120" spans="1:15" x14ac:dyDescent="0.3">
      <c r="A120" t="s">
        <v>194</v>
      </c>
      <c r="B120" s="2" t="s">
        <v>8</v>
      </c>
      <c r="C120" t="s">
        <v>54</v>
      </c>
      <c r="D120" s="1">
        <v>5000</v>
      </c>
      <c r="E120" s="1">
        <v>15000</v>
      </c>
      <c r="F120" s="1">
        <v>3000</v>
      </c>
      <c r="J120" t="s">
        <v>9</v>
      </c>
      <c r="K120" t="s">
        <v>37</v>
      </c>
      <c r="L120" s="1">
        <v>3500</v>
      </c>
      <c r="M120" s="1">
        <v>10478</v>
      </c>
      <c r="N120" s="1">
        <v>3100</v>
      </c>
      <c r="O120" t="s">
        <v>34</v>
      </c>
    </row>
    <row r="121" spans="1:15" x14ac:dyDescent="0.3">
      <c r="A121" t="s">
        <v>194</v>
      </c>
      <c r="B121" s="2" t="s">
        <v>7</v>
      </c>
      <c r="C121" t="s">
        <v>54</v>
      </c>
      <c r="D121" s="1">
        <v>5000</v>
      </c>
      <c r="E121" s="1">
        <v>15000</v>
      </c>
      <c r="F121" s="1">
        <v>3000</v>
      </c>
      <c r="J121" t="s">
        <v>9</v>
      </c>
      <c r="K121" t="s">
        <v>31</v>
      </c>
      <c r="L121" s="1">
        <v>2500</v>
      </c>
      <c r="M121" s="1">
        <v>8750</v>
      </c>
      <c r="N121" s="1">
        <v>3500</v>
      </c>
      <c r="O121" t="s">
        <v>32</v>
      </c>
    </row>
    <row r="122" spans="1:15" x14ac:dyDescent="0.3">
      <c r="A122" t="s">
        <v>194</v>
      </c>
      <c r="B122" s="2" t="s">
        <v>6</v>
      </c>
      <c r="C122" t="s">
        <v>54</v>
      </c>
      <c r="D122" s="1">
        <v>7500</v>
      </c>
      <c r="E122" s="1">
        <v>18750</v>
      </c>
      <c r="F122" s="1">
        <v>2500</v>
      </c>
      <c r="J122" t="s">
        <v>9</v>
      </c>
      <c r="K122" t="s">
        <v>52</v>
      </c>
      <c r="L122" s="1">
        <v>2000</v>
      </c>
      <c r="M122" s="1">
        <v>5800</v>
      </c>
      <c r="N122" s="1">
        <v>2900</v>
      </c>
      <c r="O122" t="s">
        <v>36</v>
      </c>
    </row>
    <row r="123" spans="1:15" x14ac:dyDescent="0.3">
      <c r="A123" t="s">
        <v>194</v>
      </c>
      <c r="B123" s="2" t="s">
        <v>5</v>
      </c>
      <c r="C123" t="s">
        <v>54</v>
      </c>
      <c r="D123" s="1">
        <v>8000</v>
      </c>
      <c r="E123" s="1">
        <v>12000</v>
      </c>
      <c r="F123" s="1">
        <v>1500</v>
      </c>
      <c r="J123" t="s">
        <v>9</v>
      </c>
      <c r="K123" t="s">
        <v>38</v>
      </c>
      <c r="L123" s="1">
        <v>1500</v>
      </c>
      <c r="M123" s="1">
        <v>4350</v>
      </c>
      <c r="N123" s="1">
        <v>2900</v>
      </c>
      <c r="O123" t="s">
        <v>30</v>
      </c>
    </row>
    <row r="124" spans="1:15" x14ac:dyDescent="0.3">
      <c r="A124" t="s">
        <v>194</v>
      </c>
      <c r="B124" s="2" t="s">
        <v>4</v>
      </c>
      <c r="C124" t="s">
        <v>54</v>
      </c>
      <c r="D124" s="1">
        <v>10000</v>
      </c>
      <c r="E124" s="1">
        <v>32832</v>
      </c>
      <c r="F124" s="1">
        <v>3300</v>
      </c>
      <c r="J124" t="s">
        <v>9</v>
      </c>
      <c r="K124" t="s">
        <v>25</v>
      </c>
      <c r="L124" s="1">
        <v>550</v>
      </c>
      <c r="M124" s="1">
        <v>1760</v>
      </c>
      <c r="N124" s="1">
        <v>3200</v>
      </c>
      <c r="O124" t="s">
        <v>22</v>
      </c>
    </row>
    <row r="125" spans="1:15" x14ac:dyDescent="0.3">
      <c r="A125" t="s">
        <v>194</v>
      </c>
      <c r="B125" s="2" t="s">
        <v>3</v>
      </c>
      <c r="C125" t="s">
        <v>54</v>
      </c>
      <c r="D125" s="1">
        <v>8800</v>
      </c>
      <c r="E125" s="1">
        <v>23313</v>
      </c>
      <c r="F125" s="1">
        <v>2700</v>
      </c>
      <c r="L125" s="1">
        <f>SUM(L102:L124)</f>
        <v>1028772</v>
      </c>
      <c r="M125" s="1">
        <f>SUM(M102:M124)</f>
        <v>3142543</v>
      </c>
    </row>
    <row r="126" spans="1:15" x14ac:dyDescent="0.3">
      <c r="A126" t="s">
        <v>194</v>
      </c>
      <c r="B126" s="2" t="s">
        <v>18</v>
      </c>
      <c r="C126" t="s">
        <v>70</v>
      </c>
      <c r="D126" s="1">
        <v>63000</v>
      </c>
      <c r="E126" s="1">
        <v>167400</v>
      </c>
      <c r="F126" s="1">
        <v>2700</v>
      </c>
      <c r="J126" s="53" t="s">
        <v>9</v>
      </c>
      <c r="K126" s="11" t="s">
        <v>192</v>
      </c>
      <c r="L126" s="9">
        <v>1028772</v>
      </c>
      <c r="M126" s="9">
        <v>3142543</v>
      </c>
      <c r="N126" s="9">
        <v>3208</v>
      </c>
    </row>
    <row r="127" spans="1:15" x14ac:dyDescent="0.3">
      <c r="A127" t="s">
        <v>194</v>
      </c>
      <c r="B127" s="2" t="s">
        <v>17</v>
      </c>
      <c r="C127" t="s">
        <v>70</v>
      </c>
      <c r="D127" s="1">
        <v>53915</v>
      </c>
      <c r="E127" s="1">
        <v>156354</v>
      </c>
      <c r="F127" s="1">
        <v>2900</v>
      </c>
      <c r="J127" s="11" t="s">
        <v>128</v>
      </c>
      <c r="K127" s="11" t="s">
        <v>82</v>
      </c>
      <c r="L127" s="9" t="s">
        <v>135</v>
      </c>
      <c r="M127" s="9" t="s">
        <v>130</v>
      </c>
      <c r="N127" s="9" t="s">
        <v>129</v>
      </c>
    </row>
    <row r="128" spans="1:15" x14ac:dyDescent="0.3">
      <c r="A128" t="s">
        <v>194</v>
      </c>
      <c r="B128" s="2" t="s">
        <v>14</v>
      </c>
      <c r="C128" t="s">
        <v>70</v>
      </c>
      <c r="D128" s="1">
        <v>60000</v>
      </c>
      <c r="E128" s="1">
        <v>210000</v>
      </c>
      <c r="F128" s="1">
        <v>3500</v>
      </c>
      <c r="J128" t="s">
        <v>8</v>
      </c>
      <c r="K128" t="s">
        <v>72</v>
      </c>
      <c r="L128" s="1">
        <v>287600</v>
      </c>
      <c r="M128" s="1">
        <v>926060</v>
      </c>
      <c r="N128" s="1">
        <v>3235</v>
      </c>
      <c r="O128" t="s">
        <v>71</v>
      </c>
    </row>
    <row r="129" spans="1:15" x14ac:dyDescent="0.3">
      <c r="A129" t="s">
        <v>194</v>
      </c>
      <c r="B129" s="2" t="s">
        <v>12</v>
      </c>
      <c r="C129" t="s">
        <v>70</v>
      </c>
      <c r="D129" s="1">
        <v>65000</v>
      </c>
      <c r="E129" s="1">
        <v>195000</v>
      </c>
      <c r="F129" s="1">
        <v>3000</v>
      </c>
      <c r="J129" t="s">
        <v>8</v>
      </c>
      <c r="K129" t="s">
        <v>75</v>
      </c>
      <c r="L129" s="1">
        <v>197510</v>
      </c>
      <c r="M129" s="1">
        <v>636252</v>
      </c>
      <c r="N129" s="1">
        <v>3235</v>
      </c>
      <c r="O129" t="s">
        <v>73</v>
      </c>
    </row>
    <row r="130" spans="1:15" x14ac:dyDescent="0.3">
      <c r="A130" t="s">
        <v>194</v>
      </c>
      <c r="B130" s="2" t="s">
        <v>9</v>
      </c>
      <c r="C130" t="s">
        <v>70</v>
      </c>
      <c r="D130" s="1">
        <v>77500</v>
      </c>
      <c r="E130" s="1">
        <v>277050</v>
      </c>
      <c r="F130" s="1">
        <v>3575</v>
      </c>
      <c r="J130" t="s">
        <v>8</v>
      </c>
      <c r="K130" t="s">
        <v>62</v>
      </c>
      <c r="L130" s="1">
        <v>124150</v>
      </c>
      <c r="M130" s="1">
        <v>421911</v>
      </c>
      <c r="N130" s="1">
        <v>3420</v>
      </c>
      <c r="O130" t="s">
        <v>59</v>
      </c>
    </row>
    <row r="131" spans="1:15" x14ac:dyDescent="0.3">
      <c r="A131" t="s">
        <v>194</v>
      </c>
      <c r="B131" s="2" t="s">
        <v>8</v>
      </c>
      <c r="C131" t="s">
        <v>70</v>
      </c>
      <c r="D131" s="1">
        <v>81700</v>
      </c>
      <c r="E131" s="1">
        <v>245100</v>
      </c>
      <c r="F131" s="1">
        <v>3000</v>
      </c>
      <c r="J131" t="s">
        <v>8</v>
      </c>
      <c r="K131" t="s">
        <v>74</v>
      </c>
      <c r="L131" s="1">
        <v>117500</v>
      </c>
      <c r="M131" s="1">
        <v>378297</v>
      </c>
      <c r="N131" s="1">
        <v>3242</v>
      </c>
      <c r="O131" t="s">
        <v>60</v>
      </c>
    </row>
    <row r="132" spans="1:15" x14ac:dyDescent="0.3">
      <c r="A132" t="s">
        <v>194</v>
      </c>
      <c r="B132" s="2" t="s">
        <v>7</v>
      </c>
      <c r="C132" t="s">
        <v>70</v>
      </c>
      <c r="D132" s="1">
        <v>81600</v>
      </c>
      <c r="E132" s="1">
        <v>285600</v>
      </c>
      <c r="F132" s="1">
        <v>3500</v>
      </c>
      <c r="J132" t="s">
        <v>8</v>
      </c>
      <c r="K132" t="s">
        <v>70</v>
      </c>
      <c r="L132" s="1">
        <v>81700</v>
      </c>
      <c r="M132" s="1">
        <v>245100</v>
      </c>
      <c r="N132" s="1">
        <v>3000</v>
      </c>
      <c r="O132" t="s">
        <v>66</v>
      </c>
    </row>
    <row r="133" spans="1:15" x14ac:dyDescent="0.3">
      <c r="A133" t="s">
        <v>194</v>
      </c>
      <c r="B133" s="2" t="s">
        <v>6</v>
      </c>
      <c r="C133" t="s">
        <v>70</v>
      </c>
      <c r="D133" s="1">
        <v>87000</v>
      </c>
      <c r="E133" s="1">
        <v>217500</v>
      </c>
      <c r="F133" s="1">
        <v>2500</v>
      </c>
      <c r="J133" t="s">
        <v>8</v>
      </c>
      <c r="K133" t="s">
        <v>69</v>
      </c>
      <c r="L133" s="1">
        <v>71500</v>
      </c>
      <c r="M133" s="1">
        <v>231475</v>
      </c>
      <c r="N133" s="1">
        <v>3262</v>
      </c>
      <c r="O133" t="s">
        <v>67</v>
      </c>
    </row>
    <row r="134" spans="1:15" x14ac:dyDescent="0.3">
      <c r="A134" t="s">
        <v>194</v>
      </c>
      <c r="B134" s="2" t="s">
        <v>5</v>
      </c>
      <c r="C134" t="s">
        <v>70</v>
      </c>
      <c r="D134" s="1">
        <v>85000</v>
      </c>
      <c r="E134" s="1">
        <v>147500</v>
      </c>
      <c r="F134" s="1">
        <v>1735</v>
      </c>
      <c r="J134" t="s">
        <v>8</v>
      </c>
      <c r="K134" t="s">
        <v>68</v>
      </c>
      <c r="L134" s="1">
        <v>58100</v>
      </c>
      <c r="M134" s="1">
        <v>174300</v>
      </c>
      <c r="N134" s="1">
        <v>3000</v>
      </c>
      <c r="O134" t="s">
        <v>61</v>
      </c>
    </row>
    <row r="135" spans="1:15" x14ac:dyDescent="0.3">
      <c r="A135" t="s">
        <v>194</v>
      </c>
      <c r="B135" s="2" t="s">
        <v>4</v>
      </c>
      <c r="C135" t="s">
        <v>70</v>
      </c>
      <c r="D135" s="1">
        <v>85000</v>
      </c>
      <c r="E135" s="1">
        <v>296069</v>
      </c>
      <c r="F135" s="1">
        <v>3489</v>
      </c>
      <c r="J135" t="s">
        <v>8</v>
      </c>
      <c r="K135" t="s">
        <v>64</v>
      </c>
      <c r="L135" s="1">
        <v>30500</v>
      </c>
      <c r="M135" s="1">
        <v>97437</v>
      </c>
      <c r="N135" s="1">
        <v>3216</v>
      </c>
      <c r="O135" t="s">
        <v>63</v>
      </c>
    </row>
    <row r="136" spans="1:15" x14ac:dyDescent="0.3">
      <c r="A136" t="s">
        <v>194</v>
      </c>
      <c r="B136" s="2" t="s">
        <v>3</v>
      </c>
      <c r="C136" t="s">
        <v>70</v>
      </c>
      <c r="D136" s="1">
        <v>93500</v>
      </c>
      <c r="E136" s="1">
        <v>261510</v>
      </c>
      <c r="F136" s="1">
        <v>2806</v>
      </c>
      <c r="J136" t="s">
        <v>8</v>
      </c>
      <c r="K136" t="s">
        <v>58</v>
      </c>
      <c r="L136" s="1">
        <v>17300</v>
      </c>
      <c r="M136" s="1">
        <v>52587</v>
      </c>
      <c r="N136" s="1">
        <v>3153</v>
      </c>
      <c r="O136" t="s">
        <v>57</v>
      </c>
    </row>
    <row r="137" spans="1:15" x14ac:dyDescent="0.3">
      <c r="A137" t="s">
        <v>194</v>
      </c>
      <c r="B137" s="2" t="s">
        <v>18</v>
      </c>
      <c r="C137" t="s">
        <v>69</v>
      </c>
      <c r="D137" s="1">
        <v>55000</v>
      </c>
      <c r="E137" s="1">
        <v>158050</v>
      </c>
      <c r="F137" s="1">
        <v>2900</v>
      </c>
      <c r="J137" t="s">
        <v>8</v>
      </c>
      <c r="K137" t="s">
        <v>65</v>
      </c>
      <c r="L137" s="1">
        <v>15000</v>
      </c>
      <c r="M137" s="1">
        <v>45000</v>
      </c>
      <c r="N137" s="1">
        <v>3000</v>
      </c>
      <c r="O137" t="s">
        <v>50</v>
      </c>
    </row>
    <row r="138" spans="1:15" x14ac:dyDescent="0.3">
      <c r="A138" t="s">
        <v>194</v>
      </c>
      <c r="B138" s="2" t="s">
        <v>17</v>
      </c>
      <c r="C138" t="s">
        <v>69</v>
      </c>
      <c r="D138" s="1">
        <v>55000</v>
      </c>
      <c r="E138" s="1">
        <v>127400</v>
      </c>
      <c r="F138" s="1">
        <v>2600</v>
      </c>
      <c r="J138" t="s">
        <v>8</v>
      </c>
      <c r="K138" t="s">
        <v>56</v>
      </c>
      <c r="L138" s="1">
        <v>12000</v>
      </c>
      <c r="M138" s="1">
        <v>36000</v>
      </c>
      <c r="N138" s="1">
        <v>3000</v>
      </c>
      <c r="O138" t="s">
        <v>49</v>
      </c>
    </row>
    <row r="139" spans="1:15" x14ac:dyDescent="0.3">
      <c r="A139" t="s">
        <v>194</v>
      </c>
      <c r="B139" s="2" t="s">
        <v>14</v>
      </c>
      <c r="C139" t="s">
        <v>69</v>
      </c>
      <c r="D139" s="1">
        <v>77640</v>
      </c>
      <c r="E139" s="1">
        <v>270690</v>
      </c>
      <c r="F139" s="1">
        <v>3500</v>
      </c>
      <c r="J139" t="s">
        <v>8</v>
      </c>
      <c r="K139" t="s">
        <v>51</v>
      </c>
      <c r="L139" s="1">
        <v>8020</v>
      </c>
      <c r="M139" s="1">
        <v>24764</v>
      </c>
      <c r="N139" s="1">
        <v>3171</v>
      </c>
      <c r="O139" t="s">
        <v>53</v>
      </c>
    </row>
    <row r="140" spans="1:15" x14ac:dyDescent="0.3">
      <c r="A140" t="s">
        <v>194</v>
      </c>
      <c r="B140" s="2" t="s">
        <v>12</v>
      </c>
      <c r="C140" t="s">
        <v>69</v>
      </c>
      <c r="D140" s="1">
        <v>80000</v>
      </c>
      <c r="E140" s="1">
        <v>165585</v>
      </c>
      <c r="F140" s="1">
        <v>2100</v>
      </c>
      <c r="J140" t="s">
        <v>8</v>
      </c>
      <c r="K140" t="s">
        <v>48</v>
      </c>
      <c r="L140" s="1">
        <v>5000</v>
      </c>
      <c r="M140" s="1">
        <v>15000</v>
      </c>
      <c r="N140" s="1">
        <v>3000</v>
      </c>
      <c r="O140" t="s">
        <v>35</v>
      </c>
    </row>
    <row r="141" spans="1:15" x14ac:dyDescent="0.3">
      <c r="A141" t="s">
        <v>194</v>
      </c>
      <c r="B141" s="2" t="s">
        <v>9</v>
      </c>
      <c r="C141" t="s">
        <v>69</v>
      </c>
      <c r="D141" s="1">
        <v>72750</v>
      </c>
      <c r="E141" s="1">
        <v>223939</v>
      </c>
      <c r="F141" s="1">
        <v>3149</v>
      </c>
      <c r="J141" t="s">
        <v>8</v>
      </c>
      <c r="K141" t="s">
        <v>54</v>
      </c>
      <c r="L141" s="1">
        <v>5000</v>
      </c>
      <c r="M141" s="1">
        <v>15000</v>
      </c>
      <c r="N141" s="1">
        <v>3000</v>
      </c>
      <c r="O141" t="s">
        <v>47</v>
      </c>
    </row>
    <row r="142" spans="1:15" x14ac:dyDescent="0.3">
      <c r="A142" t="s">
        <v>194</v>
      </c>
      <c r="B142" s="2" t="s">
        <v>8</v>
      </c>
      <c r="C142" t="s">
        <v>69</v>
      </c>
      <c r="D142" s="1">
        <v>71500</v>
      </c>
      <c r="E142" s="1">
        <v>231475</v>
      </c>
      <c r="F142" s="1">
        <v>3262</v>
      </c>
      <c r="J142" t="s">
        <v>8</v>
      </c>
      <c r="K142" t="s">
        <v>44</v>
      </c>
      <c r="L142" s="1">
        <v>4000</v>
      </c>
      <c r="M142" s="1">
        <v>12000</v>
      </c>
      <c r="N142" s="1">
        <v>3000</v>
      </c>
      <c r="O142" t="s">
        <v>45</v>
      </c>
    </row>
    <row r="143" spans="1:15" x14ac:dyDescent="0.3">
      <c r="A143" t="s">
        <v>194</v>
      </c>
      <c r="B143" s="2" t="s">
        <v>7</v>
      </c>
      <c r="C143" t="s">
        <v>69</v>
      </c>
      <c r="D143" s="1">
        <v>75500</v>
      </c>
      <c r="E143" s="1">
        <v>259450</v>
      </c>
      <c r="F143" s="1">
        <v>3436</v>
      </c>
      <c r="J143" t="s">
        <v>8</v>
      </c>
      <c r="K143" t="s">
        <v>41</v>
      </c>
      <c r="L143" s="1">
        <v>4000</v>
      </c>
      <c r="M143" s="1">
        <v>12000</v>
      </c>
      <c r="N143" s="1">
        <v>3000</v>
      </c>
      <c r="O143" t="s">
        <v>43</v>
      </c>
    </row>
    <row r="144" spans="1:15" x14ac:dyDescent="0.3">
      <c r="A144" t="s">
        <v>194</v>
      </c>
      <c r="B144" s="2" t="s">
        <v>6</v>
      </c>
      <c r="C144" t="s">
        <v>69</v>
      </c>
      <c r="D144" s="1">
        <v>73900</v>
      </c>
      <c r="E144" s="1">
        <v>240990</v>
      </c>
      <c r="F144" s="1">
        <v>3261</v>
      </c>
      <c r="J144" t="s">
        <v>8</v>
      </c>
      <c r="K144" t="s">
        <v>42</v>
      </c>
      <c r="L144" s="1">
        <v>4000</v>
      </c>
      <c r="M144" s="1">
        <v>12000</v>
      </c>
      <c r="N144" s="1">
        <v>3000</v>
      </c>
      <c r="O144" t="s">
        <v>39</v>
      </c>
    </row>
    <row r="145" spans="1:15" x14ac:dyDescent="0.3">
      <c r="A145" t="s">
        <v>194</v>
      </c>
      <c r="B145" s="2" t="s">
        <v>5</v>
      </c>
      <c r="C145" t="s">
        <v>69</v>
      </c>
      <c r="D145" s="1">
        <v>77905</v>
      </c>
      <c r="E145" s="1">
        <v>215313</v>
      </c>
      <c r="F145" s="1">
        <v>2764</v>
      </c>
      <c r="J145" t="s">
        <v>8</v>
      </c>
      <c r="K145" t="s">
        <v>33</v>
      </c>
      <c r="L145" s="1">
        <v>4000</v>
      </c>
      <c r="M145" s="1">
        <v>12000</v>
      </c>
      <c r="N145" s="1">
        <v>3000</v>
      </c>
      <c r="O145" t="s">
        <v>40</v>
      </c>
    </row>
    <row r="146" spans="1:15" x14ac:dyDescent="0.3">
      <c r="A146" t="s">
        <v>194</v>
      </c>
      <c r="B146" s="2" t="s">
        <v>4</v>
      </c>
      <c r="C146" t="s">
        <v>69</v>
      </c>
      <c r="D146" s="1">
        <v>74500</v>
      </c>
      <c r="E146" s="1">
        <v>213076</v>
      </c>
      <c r="F146" s="1">
        <v>2879</v>
      </c>
      <c r="J146" t="s">
        <v>8</v>
      </c>
      <c r="K146" t="s">
        <v>37</v>
      </c>
      <c r="L146" s="1">
        <v>3600</v>
      </c>
      <c r="M146" s="1">
        <v>10800</v>
      </c>
      <c r="N146" s="1">
        <v>3000</v>
      </c>
      <c r="O146" t="s">
        <v>34</v>
      </c>
    </row>
    <row r="147" spans="1:15" x14ac:dyDescent="0.3">
      <c r="A147" t="s">
        <v>194</v>
      </c>
      <c r="B147" s="2" t="s">
        <v>3</v>
      </c>
      <c r="C147" t="s">
        <v>69</v>
      </c>
      <c r="D147" s="1">
        <v>95500</v>
      </c>
      <c r="E147" s="1">
        <v>206100</v>
      </c>
      <c r="F147" s="1">
        <v>2314</v>
      </c>
      <c r="J147" t="s">
        <v>8</v>
      </c>
      <c r="K147" t="s">
        <v>31</v>
      </c>
      <c r="L147" s="1">
        <v>2500</v>
      </c>
      <c r="M147" s="1">
        <v>7500</v>
      </c>
      <c r="N147" s="1">
        <v>3000</v>
      </c>
      <c r="O147" t="s">
        <v>32</v>
      </c>
    </row>
    <row r="148" spans="1:15" x14ac:dyDescent="0.3">
      <c r="A148" t="s">
        <v>194</v>
      </c>
      <c r="B148" s="2" t="s">
        <v>18</v>
      </c>
      <c r="C148" t="s">
        <v>31</v>
      </c>
      <c r="D148" s="1">
        <v>1500</v>
      </c>
      <c r="E148" s="1">
        <v>3300</v>
      </c>
      <c r="F148" s="1">
        <v>2200</v>
      </c>
      <c r="J148" t="s">
        <v>8</v>
      </c>
      <c r="K148" t="s">
        <v>52</v>
      </c>
      <c r="L148" s="1">
        <v>2000</v>
      </c>
      <c r="M148" s="1">
        <v>6000</v>
      </c>
      <c r="N148" s="1">
        <v>3000</v>
      </c>
      <c r="O148" t="s">
        <v>36</v>
      </c>
    </row>
    <row r="149" spans="1:15" x14ac:dyDescent="0.3">
      <c r="A149" t="s">
        <v>194</v>
      </c>
      <c r="B149" s="2" t="s">
        <v>17</v>
      </c>
      <c r="C149" t="s">
        <v>31</v>
      </c>
      <c r="D149" s="1">
        <v>1500</v>
      </c>
      <c r="E149" s="1">
        <v>3600</v>
      </c>
      <c r="F149" s="1">
        <v>2400</v>
      </c>
      <c r="J149" t="s">
        <v>8</v>
      </c>
      <c r="K149" t="s">
        <v>38</v>
      </c>
      <c r="L149" s="1">
        <v>1500</v>
      </c>
      <c r="M149" s="1">
        <v>4500</v>
      </c>
      <c r="N149" s="1">
        <v>3000</v>
      </c>
      <c r="O149" t="s">
        <v>30</v>
      </c>
    </row>
    <row r="150" spans="1:15" x14ac:dyDescent="0.3">
      <c r="A150" t="s">
        <v>194</v>
      </c>
      <c r="B150" s="2" t="s">
        <v>14</v>
      </c>
      <c r="C150" t="s">
        <v>31</v>
      </c>
      <c r="D150" s="1">
        <v>2000</v>
      </c>
      <c r="E150" s="1">
        <v>6000</v>
      </c>
      <c r="F150" s="1">
        <v>3000</v>
      </c>
      <c r="J150" t="s">
        <v>8</v>
      </c>
      <c r="K150" t="s">
        <v>25</v>
      </c>
      <c r="L150" s="1">
        <v>800</v>
      </c>
      <c r="M150" s="1">
        <v>1984</v>
      </c>
      <c r="N150" s="1">
        <v>3200</v>
      </c>
      <c r="O150" t="s">
        <v>22</v>
      </c>
    </row>
    <row r="151" spans="1:15" x14ac:dyDescent="0.3">
      <c r="A151" t="s">
        <v>194</v>
      </c>
      <c r="B151" s="2" t="s">
        <v>12</v>
      </c>
      <c r="C151" t="s">
        <v>31</v>
      </c>
      <c r="D151" s="1">
        <v>2500</v>
      </c>
      <c r="E151" s="1">
        <v>6250</v>
      </c>
      <c r="F151" s="1">
        <v>2500</v>
      </c>
      <c r="L151" s="1">
        <f>SUM(L128:L150)</f>
        <v>1057280</v>
      </c>
      <c r="M151" s="1">
        <f>SUM(M128:M150)</f>
        <v>3377967</v>
      </c>
    </row>
    <row r="152" spans="1:15" x14ac:dyDescent="0.3">
      <c r="A152" t="s">
        <v>194</v>
      </c>
      <c r="B152" s="2" t="s">
        <v>9</v>
      </c>
      <c r="C152" t="s">
        <v>31</v>
      </c>
      <c r="D152" s="1">
        <v>2500</v>
      </c>
      <c r="E152" s="1">
        <v>8750</v>
      </c>
      <c r="F152" s="1">
        <v>3500</v>
      </c>
      <c r="J152" s="53" t="s">
        <v>8</v>
      </c>
      <c r="K152" s="11" t="s">
        <v>192</v>
      </c>
      <c r="L152" s="9">
        <v>1057280</v>
      </c>
      <c r="M152" s="9">
        <v>3377967</v>
      </c>
      <c r="N152" s="9">
        <v>3212</v>
      </c>
    </row>
    <row r="153" spans="1:15" x14ac:dyDescent="0.3">
      <c r="A153" t="s">
        <v>194</v>
      </c>
      <c r="B153" s="2" t="s">
        <v>8</v>
      </c>
      <c r="C153" t="s">
        <v>31</v>
      </c>
      <c r="D153" s="1">
        <v>2500</v>
      </c>
      <c r="E153" s="1">
        <v>7500</v>
      </c>
      <c r="F153" s="1">
        <v>3000</v>
      </c>
      <c r="J153" s="11" t="s">
        <v>128</v>
      </c>
      <c r="K153" s="11" t="s">
        <v>82</v>
      </c>
      <c r="L153" s="9" t="s">
        <v>135</v>
      </c>
      <c r="M153" s="9" t="s">
        <v>130</v>
      </c>
      <c r="N153" s="9" t="s">
        <v>129</v>
      </c>
      <c r="O153" t="s">
        <v>24</v>
      </c>
    </row>
    <row r="154" spans="1:15" x14ac:dyDescent="0.3">
      <c r="A154" t="s">
        <v>194</v>
      </c>
      <c r="B154" s="2" t="s">
        <v>7</v>
      </c>
      <c r="C154" t="s">
        <v>31</v>
      </c>
      <c r="D154" s="1">
        <v>2500</v>
      </c>
      <c r="E154" s="1">
        <v>7500</v>
      </c>
      <c r="F154" s="1">
        <v>3000</v>
      </c>
      <c r="J154" t="s">
        <v>7</v>
      </c>
      <c r="K154" t="s">
        <v>72</v>
      </c>
      <c r="L154" s="1">
        <v>295000</v>
      </c>
      <c r="M154" s="1">
        <v>977900</v>
      </c>
      <c r="N154" s="1">
        <v>3315</v>
      </c>
      <c r="O154" t="s">
        <v>71</v>
      </c>
    </row>
    <row r="155" spans="1:15" x14ac:dyDescent="0.3">
      <c r="A155" t="s">
        <v>194</v>
      </c>
      <c r="B155" s="2" t="s">
        <v>6</v>
      </c>
      <c r="C155" t="s">
        <v>31</v>
      </c>
      <c r="D155" s="1">
        <v>2500</v>
      </c>
      <c r="E155" s="1">
        <v>6250</v>
      </c>
      <c r="F155" s="1">
        <v>2500</v>
      </c>
      <c r="J155" t="s">
        <v>7</v>
      </c>
      <c r="K155" t="s">
        <v>75</v>
      </c>
      <c r="L155" s="1">
        <v>197300</v>
      </c>
      <c r="M155" s="1">
        <v>712400</v>
      </c>
      <c r="N155" s="1">
        <v>3611</v>
      </c>
      <c r="O155" t="s">
        <v>73</v>
      </c>
    </row>
    <row r="156" spans="1:15" x14ac:dyDescent="0.3">
      <c r="A156" t="s">
        <v>194</v>
      </c>
      <c r="B156" s="2" t="s">
        <v>5</v>
      </c>
      <c r="C156" t="s">
        <v>31</v>
      </c>
      <c r="D156" s="1">
        <v>3000</v>
      </c>
      <c r="E156" s="1">
        <v>4500</v>
      </c>
      <c r="F156" s="1">
        <v>1500</v>
      </c>
      <c r="J156" t="s">
        <v>7</v>
      </c>
      <c r="K156" t="s">
        <v>74</v>
      </c>
      <c r="L156" s="1">
        <v>117500</v>
      </c>
      <c r="M156" s="1">
        <v>410300</v>
      </c>
      <c r="N156" s="1">
        <v>3492</v>
      </c>
      <c r="O156" t="s">
        <v>59</v>
      </c>
    </row>
    <row r="157" spans="1:15" x14ac:dyDescent="0.3">
      <c r="A157" t="s">
        <v>194</v>
      </c>
      <c r="B157" s="2" t="s">
        <v>4</v>
      </c>
      <c r="C157" t="s">
        <v>31</v>
      </c>
      <c r="D157" s="1">
        <v>3000</v>
      </c>
      <c r="E157" s="1">
        <v>10348</v>
      </c>
      <c r="F157" s="1">
        <v>3514</v>
      </c>
      <c r="J157" t="s">
        <v>7</v>
      </c>
      <c r="K157" t="s">
        <v>62</v>
      </c>
      <c r="L157" s="1">
        <v>124150</v>
      </c>
      <c r="M157" s="1">
        <v>387660</v>
      </c>
      <c r="N157" s="1">
        <v>3123</v>
      </c>
      <c r="O157" t="s">
        <v>60</v>
      </c>
    </row>
    <row r="158" spans="1:15" x14ac:dyDescent="0.3">
      <c r="A158" t="s">
        <v>194</v>
      </c>
      <c r="B158" s="2" t="s">
        <v>3</v>
      </c>
      <c r="C158" t="s">
        <v>31</v>
      </c>
      <c r="D158" s="1">
        <v>3400</v>
      </c>
      <c r="E158" s="1">
        <v>8867</v>
      </c>
      <c r="F158" s="1">
        <v>2695</v>
      </c>
      <c r="J158" t="s">
        <v>7</v>
      </c>
      <c r="K158" t="s">
        <v>70</v>
      </c>
      <c r="L158" s="1">
        <v>81600</v>
      </c>
      <c r="M158" s="1">
        <v>285600</v>
      </c>
      <c r="N158" s="1">
        <v>3500</v>
      </c>
      <c r="O158" t="s">
        <v>66</v>
      </c>
    </row>
    <row r="159" spans="1:15" x14ac:dyDescent="0.3">
      <c r="A159" t="s">
        <v>194</v>
      </c>
      <c r="B159" s="2" t="s">
        <v>18</v>
      </c>
      <c r="C159" t="s">
        <v>56</v>
      </c>
      <c r="D159" s="1">
        <v>20000</v>
      </c>
      <c r="E159" s="1">
        <v>46800</v>
      </c>
      <c r="F159" s="1">
        <v>2400</v>
      </c>
      <c r="J159" t="s">
        <v>7</v>
      </c>
      <c r="K159" t="s">
        <v>69</v>
      </c>
      <c r="L159" s="1">
        <v>75500</v>
      </c>
      <c r="M159" s="1">
        <v>259450</v>
      </c>
      <c r="N159" s="1">
        <v>3436</v>
      </c>
      <c r="O159" t="s">
        <v>67</v>
      </c>
    </row>
    <row r="160" spans="1:15" x14ac:dyDescent="0.3">
      <c r="A160" t="s">
        <v>194</v>
      </c>
      <c r="B160" s="2" t="s">
        <v>17</v>
      </c>
      <c r="C160" t="s">
        <v>56</v>
      </c>
      <c r="D160" s="1">
        <v>15000</v>
      </c>
      <c r="E160" s="1">
        <v>40500</v>
      </c>
      <c r="F160" s="1">
        <v>2700</v>
      </c>
      <c r="J160" t="s">
        <v>7</v>
      </c>
      <c r="K160" t="s">
        <v>68</v>
      </c>
      <c r="L160" s="1">
        <v>58100</v>
      </c>
      <c r="M160" s="1">
        <v>174300</v>
      </c>
      <c r="N160" s="1">
        <v>3000</v>
      </c>
      <c r="O160" t="s">
        <v>61</v>
      </c>
    </row>
    <row r="161" spans="1:15" x14ac:dyDescent="0.3">
      <c r="A161" t="s">
        <v>194</v>
      </c>
      <c r="B161" s="2" t="s">
        <v>14</v>
      </c>
      <c r="C161" t="s">
        <v>56</v>
      </c>
      <c r="D161" s="1">
        <v>15000</v>
      </c>
      <c r="E161" s="1">
        <v>52500</v>
      </c>
      <c r="F161" s="1">
        <v>3500</v>
      </c>
      <c r="J161" t="s">
        <v>7</v>
      </c>
      <c r="K161" t="s">
        <v>64</v>
      </c>
      <c r="L161" s="1">
        <v>30500</v>
      </c>
      <c r="M161" s="1">
        <v>94300</v>
      </c>
      <c r="N161" s="1">
        <v>3092</v>
      </c>
      <c r="O161" t="s">
        <v>63</v>
      </c>
    </row>
    <row r="162" spans="1:15" x14ac:dyDescent="0.3">
      <c r="A162" t="s">
        <v>194</v>
      </c>
      <c r="B162" s="2" t="s">
        <v>12</v>
      </c>
      <c r="C162" t="s">
        <v>56</v>
      </c>
      <c r="D162" s="1">
        <v>15000</v>
      </c>
      <c r="E162" s="1">
        <v>22500</v>
      </c>
      <c r="F162" s="1">
        <v>1500</v>
      </c>
      <c r="J162" t="s">
        <v>7</v>
      </c>
      <c r="K162" t="s">
        <v>58</v>
      </c>
      <c r="L162" s="1">
        <v>17200</v>
      </c>
      <c r="M162" s="1">
        <v>59090</v>
      </c>
      <c r="N162" s="1">
        <v>3435</v>
      </c>
      <c r="O162" t="s">
        <v>57</v>
      </c>
    </row>
    <row r="163" spans="1:15" x14ac:dyDescent="0.3">
      <c r="A163" t="s">
        <v>194</v>
      </c>
      <c r="B163" s="2" t="s">
        <v>9</v>
      </c>
      <c r="C163" t="s">
        <v>56</v>
      </c>
      <c r="D163" s="1">
        <v>15000</v>
      </c>
      <c r="E163" s="1">
        <v>52527</v>
      </c>
      <c r="F163" s="1">
        <v>3502</v>
      </c>
      <c r="J163" t="s">
        <v>7</v>
      </c>
      <c r="K163" t="s">
        <v>65</v>
      </c>
      <c r="L163" s="1">
        <v>15000</v>
      </c>
      <c r="M163" s="1">
        <v>45000</v>
      </c>
      <c r="N163" s="1">
        <v>3000</v>
      </c>
      <c r="O163" t="s">
        <v>50</v>
      </c>
    </row>
    <row r="164" spans="1:15" x14ac:dyDescent="0.3">
      <c r="A164" t="s">
        <v>194</v>
      </c>
      <c r="B164" s="2" t="s">
        <v>8</v>
      </c>
      <c r="C164" t="s">
        <v>56</v>
      </c>
      <c r="D164" s="1">
        <v>12000</v>
      </c>
      <c r="E164" s="1">
        <v>36000</v>
      </c>
      <c r="F164" s="1">
        <v>3000</v>
      </c>
      <c r="J164" t="s">
        <v>7</v>
      </c>
      <c r="K164" t="s">
        <v>56</v>
      </c>
      <c r="L164" s="1">
        <v>12000</v>
      </c>
      <c r="M164" s="1">
        <v>36000</v>
      </c>
      <c r="N164" s="1">
        <v>3000</v>
      </c>
      <c r="O164" t="s">
        <v>49</v>
      </c>
    </row>
    <row r="165" spans="1:15" x14ac:dyDescent="0.3">
      <c r="A165" t="s">
        <v>194</v>
      </c>
      <c r="B165" s="2" t="s">
        <v>7</v>
      </c>
      <c r="C165" t="s">
        <v>56</v>
      </c>
      <c r="D165" s="1">
        <v>12000</v>
      </c>
      <c r="E165" s="1">
        <v>36000</v>
      </c>
      <c r="F165" s="1">
        <v>3000</v>
      </c>
      <c r="J165" t="s">
        <v>7</v>
      </c>
      <c r="K165" t="s">
        <v>51</v>
      </c>
      <c r="L165" s="1">
        <v>10200</v>
      </c>
      <c r="M165" s="1">
        <v>30600</v>
      </c>
      <c r="N165" s="1">
        <v>3000</v>
      </c>
      <c r="O165" t="s">
        <v>53</v>
      </c>
    </row>
    <row r="166" spans="1:15" x14ac:dyDescent="0.3">
      <c r="A166" t="s">
        <v>194</v>
      </c>
      <c r="B166" s="2" t="s">
        <v>6</v>
      </c>
      <c r="C166" t="s">
        <v>56</v>
      </c>
      <c r="D166" s="1">
        <v>12000</v>
      </c>
      <c r="E166" s="1">
        <v>30000</v>
      </c>
      <c r="F166" s="1">
        <v>2500</v>
      </c>
      <c r="J166" t="s">
        <v>7</v>
      </c>
      <c r="K166" t="s">
        <v>48</v>
      </c>
      <c r="L166" s="1">
        <v>5500</v>
      </c>
      <c r="M166" s="1">
        <v>16500</v>
      </c>
      <c r="N166" s="1">
        <v>3000</v>
      </c>
      <c r="O166" t="s">
        <v>35</v>
      </c>
    </row>
    <row r="167" spans="1:15" x14ac:dyDescent="0.3">
      <c r="A167" t="s">
        <v>194</v>
      </c>
      <c r="B167" s="2" t="s">
        <v>5</v>
      </c>
      <c r="C167" t="s">
        <v>56</v>
      </c>
      <c r="D167" s="1">
        <v>13000</v>
      </c>
      <c r="E167" s="1">
        <v>19500</v>
      </c>
      <c r="F167" s="1">
        <v>1500</v>
      </c>
      <c r="J167" t="s">
        <v>7</v>
      </c>
      <c r="K167" t="s">
        <v>54</v>
      </c>
      <c r="L167" s="1">
        <v>5000</v>
      </c>
      <c r="M167" s="1">
        <v>15000</v>
      </c>
      <c r="N167" s="1">
        <v>3000</v>
      </c>
      <c r="O167" t="s">
        <v>47</v>
      </c>
    </row>
    <row r="168" spans="1:15" x14ac:dyDescent="0.3">
      <c r="A168" t="s">
        <v>194</v>
      </c>
      <c r="B168" s="2" t="s">
        <v>4</v>
      </c>
      <c r="C168" t="s">
        <v>56</v>
      </c>
      <c r="D168" s="1">
        <v>13000</v>
      </c>
      <c r="E168" s="1">
        <v>48848</v>
      </c>
      <c r="F168" s="1">
        <v>3786</v>
      </c>
      <c r="J168" t="s">
        <v>7</v>
      </c>
      <c r="K168" t="s">
        <v>44</v>
      </c>
      <c r="L168" s="1">
        <v>4000</v>
      </c>
      <c r="M168" s="1">
        <v>12000</v>
      </c>
      <c r="N168" s="1">
        <v>3000</v>
      </c>
      <c r="O168" t="s">
        <v>45</v>
      </c>
    </row>
    <row r="169" spans="1:15" x14ac:dyDescent="0.3">
      <c r="A169" t="s">
        <v>194</v>
      </c>
      <c r="B169" s="2" t="s">
        <v>3</v>
      </c>
      <c r="C169" t="s">
        <v>56</v>
      </c>
      <c r="D169" s="1">
        <v>14300</v>
      </c>
      <c r="E169" s="1">
        <v>35150</v>
      </c>
      <c r="F169" s="1">
        <v>2500</v>
      </c>
      <c r="J169" t="s">
        <v>7</v>
      </c>
      <c r="K169" t="s">
        <v>41</v>
      </c>
      <c r="L169" s="1">
        <v>4000</v>
      </c>
      <c r="M169" s="1">
        <v>12000</v>
      </c>
      <c r="N169" s="1">
        <v>3000</v>
      </c>
      <c r="O169" t="s">
        <v>43</v>
      </c>
    </row>
    <row r="170" spans="1:15" x14ac:dyDescent="0.3">
      <c r="A170" t="s">
        <v>194</v>
      </c>
      <c r="B170" s="2" t="s">
        <v>18</v>
      </c>
      <c r="C170" t="s">
        <v>72</v>
      </c>
      <c r="D170" s="1">
        <v>220000</v>
      </c>
      <c r="E170" s="1">
        <v>566280</v>
      </c>
      <c r="F170" s="1">
        <v>2600</v>
      </c>
      <c r="J170" t="s">
        <v>7</v>
      </c>
      <c r="K170" t="s">
        <v>42</v>
      </c>
      <c r="L170" s="1">
        <v>4000</v>
      </c>
      <c r="M170" s="1">
        <v>12000</v>
      </c>
      <c r="N170" s="1">
        <v>3000</v>
      </c>
      <c r="O170" t="s">
        <v>39</v>
      </c>
    </row>
    <row r="171" spans="1:15" x14ac:dyDescent="0.3">
      <c r="A171" t="s">
        <v>194</v>
      </c>
      <c r="B171" s="2" t="s">
        <v>17</v>
      </c>
      <c r="C171" t="s">
        <v>72</v>
      </c>
      <c r="D171" s="1">
        <v>290000</v>
      </c>
      <c r="E171" s="1">
        <v>741000</v>
      </c>
      <c r="F171" s="1">
        <v>2600</v>
      </c>
      <c r="J171" t="s">
        <v>7</v>
      </c>
      <c r="K171" t="s">
        <v>33</v>
      </c>
      <c r="L171" s="1">
        <v>4000</v>
      </c>
      <c r="M171" s="1">
        <v>12000</v>
      </c>
      <c r="N171" s="1">
        <v>3000</v>
      </c>
      <c r="O171" t="s">
        <v>40</v>
      </c>
    </row>
    <row r="172" spans="1:15" x14ac:dyDescent="0.3">
      <c r="A172" t="s">
        <v>194</v>
      </c>
      <c r="B172" s="2" t="s">
        <v>14</v>
      </c>
      <c r="C172" t="s">
        <v>72</v>
      </c>
      <c r="D172" s="1">
        <v>231550</v>
      </c>
      <c r="E172" s="1">
        <v>832212</v>
      </c>
      <c r="F172" s="1">
        <v>3600</v>
      </c>
      <c r="J172" t="s">
        <v>7</v>
      </c>
      <c r="K172" t="s">
        <v>37</v>
      </c>
      <c r="L172" s="1">
        <v>3600</v>
      </c>
      <c r="M172" s="1">
        <v>11520</v>
      </c>
      <c r="N172" s="1">
        <v>3200</v>
      </c>
      <c r="O172" t="s">
        <v>34</v>
      </c>
    </row>
    <row r="173" spans="1:15" x14ac:dyDescent="0.3">
      <c r="A173" t="s">
        <v>194</v>
      </c>
      <c r="B173" s="2" t="s">
        <v>12</v>
      </c>
      <c r="C173" t="s">
        <v>72</v>
      </c>
      <c r="D173" s="1">
        <v>240000</v>
      </c>
      <c r="E173" s="1">
        <v>660380</v>
      </c>
      <c r="F173" s="1">
        <v>2800</v>
      </c>
      <c r="J173" t="s">
        <v>7</v>
      </c>
      <c r="K173" t="s">
        <v>29</v>
      </c>
      <c r="L173" s="1">
        <v>3200</v>
      </c>
      <c r="M173" s="1">
        <v>8960</v>
      </c>
      <c r="N173" s="1">
        <v>2800</v>
      </c>
      <c r="O173" t="s">
        <v>32</v>
      </c>
    </row>
    <row r="174" spans="1:15" x14ac:dyDescent="0.3">
      <c r="A174" t="s">
        <v>194</v>
      </c>
      <c r="B174" s="2" t="s">
        <v>9</v>
      </c>
      <c r="C174" t="s">
        <v>72</v>
      </c>
      <c r="D174" s="1">
        <v>270000</v>
      </c>
      <c r="E174" s="1">
        <v>833846</v>
      </c>
      <c r="F174" s="1">
        <v>3147</v>
      </c>
      <c r="J174" t="s">
        <v>7</v>
      </c>
      <c r="K174" t="s">
        <v>46</v>
      </c>
      <c r="L174" s="1">
        <v>3500</v>
      </c>
      <c r="M174" s="1">
        <v>8750</v>
      </c>
      <c r="N174" s="1">
        <v>2500</v>
      </c>
      <c r="O174" t="s">
        <v>36</v>
      </c>
    </row>
    <row r="175" spans="1:15" x14ac:dyDescent="0.3">
      <c r="A175" t="s">
        <v>194</v>
      </c>
      <c r="B175" s="2" t="s">
        <v>8</v>
      </c>
      <c r="C175" t="s">
        <v>72</v>
      </c>
      <c r="D175" s="1">
        <v>287600</v>
      </c>
      <c r="E175" s="1">
        <v>926060</v>
      </c>
      <c r="F175" s="1">
        <v>3235</v>
      </c>
      <c r="J175" t="s">
        <v>7</v>
      </c>
      <c r="K175" t="s">
        <v>31</v>
      </c>
      <c r="L175" s="1">
        <v>2500</v>
      </c>
      <c r="M175" s="1">
        <v>7500</v>
      </c>
      <c r="N175" s="1">
        <v>3000</v>
      </c>
      <c r="O175" t="s">
        <v>30</v>
      </c>
    </row>
    <row r="176" spans="1:15" x14ac:dyDescent="0.3">
      <c r="A176" t="s">
        <v>194</v>
      </c>
      <c r="B176" s="2" t="s">
        <v>7</v>
      </c>
      <c r="C176" t="s">
        <v>72</v>
      </c>
      <c r="D176" s="1">
        <v>295000</v>
      </c>
      <c r="E176" s="1">
        <v>977900</v>
      </c>
      <c r="F176" s="1">
        <v>3315</v>
      </c>
      <c r="J176" t="s">
        <v>7</v>
      </c>
      <c r="K176" t="s">
        <v>52</v>
      </c>
      <c r="L176" s="1">
        <v>2500</v>
      </c>
      <c r="M176" s="1">
        <v>7500</v>
      </c>
      <c r="N176" s="1">
        <v>3000</v>
      </c>
      <c r="O176" t="s">
        <v>22</v>
      </c>
    </row>
    <row r="177" spans="1:15" x14ac:dyDescent="0.3">
      <c r="A177" t="s">
        <v>194</v>
      </c>
      <c r="B177" s="2" t="s">
        <v>6</v>
      </c>
      <c r="C177" t="s">
        <v>72</v>
      </c>
      <c r="D177" s="1">
        <v>290600</v>
      </c>
      <c r="E177" s="1">
        <v>976160</v>
      </c>
      <c r="F177" s="1">
        <v>3359</v>
      </c>
      <c r="J177" t="s">
        <v>7</v>
      </c>
      <c r="K177" t="s">
        <v>38</v>
      </c>
      <c r="L177" s="1">
        <v>1500</v>
      </c>
      <c r="M177" s="1">
        <v>4500</v>
      </c>
      <c r="N177" s="1">
        <v>3000</v>
      </c>
      <c r="O177" t="s">
        <v>28</v>
      </c>
    </row>
    <row r="178" spans="1:15" x14ac:dyDescent="0.3">
      <c r="A178" t="s">
        <v>194</v>
      </c>
      <c r="B178" s="2" t="s">
        <v>5</v>
      </c>
      <c r="C178" t="s">
        <v>72</v>
      </c>
      <c r="D178" s="1">
        <v>290600</v>
      </c>
      <c r="E178" s="1">
        <v>830100</v>
      </c>
      <c r="F178" s="1">
        <v>2857</v>
      </c>
      <c r="J178" t="s">
        <v>7</v>
      </c>
      <c r="K178" t="s">
        <v>25</v>
      </c>
      <c r="L178" s="1">
        <v>800</v>
      </c>
      <c r="M178" s="1">
        <v>2400</v>
      </c>
      <c r="N178" s="1">
        <v>3000</v>
      </c>
      <c r="O178" t="s">
        <v>23</v>
      </c>
    </row>
    <row r="179" spans="1:15" x14ac:dyDescent="0.3">
      <c r="A179" t="s">
        <v>194</v>
      </c>
      <c r="B179" s="2" t="s">
        <v>4</v>
      </c>
      <c r="C179" t="s">
        <v>72</v>
      </c>
      <c r="D179" s="1">
        <v>275300</v>
      </c>
      <c r="E179" s="1">
        <v>616620</v>
      </c>
      <c r="F179" s="1">
        <v>2318</v>
      </c>
      <c r="L179" s="1">
        <f>SUM(L154:L178)</f>
        <v>1078150</v>
      </c>
      <c r="M179" s="1">
        <f>SUM(M154:M178)</f>
        <v>3603230</v>
      </c>
    </row>
    <row r="180" spans="1:15" x14ac:dyDescent="0.3">
      <c r="A180" t="s">
        <v>194</v>
      </c>
      <c r="B180" s="2" t="s">
        <v>3</v>
      </c>
      <c r="C180" t="s">
        <v>72</v>
      </c>
      <c r="D180" s="1">
        <v>355400</v>
      </c>
      <c r="E180" s="1">
        <v>310223</v>
      </c>
      <c r="F180" s="1">
        <v>1134</v>
      </c>
      <c r="J180" s="53" t="s">
        <v>7</v>
      </c>
      <c r="K180" s="11" t="s">
        <v>192</v>
      </c>
      <c r="L180" s="9">
        <v>1078150</v>
      </c>
      <c r="M180" s="9">
        <v>3603230</v>
      </c>
      <c r="N180" s="9">
        <v>3342</v>
      </c>
    </row>
    <row r="181" spans="1:15" x14ac:dyDescent="0.3">
      <c r="A181" t="s">
        <v>194</v>
      </c>
      <c r="B181" s="2" t="s">
        <v>7</v>
      </c>
      <c r="C181" t="s">
        <v>46</v>
      </c>
      <c r="D181" s="1">
        <v>3500</v>
      </c>
      <c r="E181" s="1">
        <v>8750</v>
      </c>
      <c r="F181" s="1">
        <v>2500</v>
      </c>
      <c r="J181" s="11" t="s">
        <v>128</v>
      </c>
      <c r="K181" s="11" t="s">
        <v>82</v>
      </c>
      <c r="L181" s="9" t="s">
        <v>135</v>
      </c>
      <c r="M181" s="9" t="s">
        <v>130</v>
      </c>
      <c r="N181" s="9" t="s">
        <v>129</v>
      </c>
    </row>
    <row r="182" spans="1:15" x14ac:dyDescent="0.3">
      <c r="A182" t="s">
        <v>194</v>
      </c>
      <c r="B182" s="2" t="s">
        <v>5</v>
      </c>
      <c r="C182" t="s">
        <v>46</v>
      </c>
      <c r="D182" s="1">
        <v>6500</v>
      </c>
      <c r="E182" s="1">
        <v>9750</v>
      </c>
      <c r="F182" s="1">
        <v>1500</v>
      </c>
      <c r="J182" t="s">
        <v>6</v>
      </c>
      <c r="K182" t="s">
        <v>72</v>
      </c>
      <c r="L182" s="1">
        <v>290600</v>
      </c>
      <c r="M182" s="1">
        <v>976160</v>
      </c>
      <c r="N182" s="1">
        <v>3359</v>
      </c>
      <c r="O182" t="s">
        <v>71</v>
      </c>
    </row>
    <row r="183" spans="1:15" x14ac:dyDescent="0.3">
      <c r="A183" t="s">
        <v>194</v>
      </c>
      <c r="B183" s="2" t="s">
        <v>4</v>
      </c>
      <c r="C183" t="s">
        <v>46</v>
      </c>
      <c r="D183" s="1">
        <v>6500</v>
      </c>
      <c r="E183" s="1">
        <v>22733</v>
      </c>
      <c r="F183" s="1">
        <v>3500</v>
      </c>
      <c r="J183" t="s">
        <v>6</v>
      </c>
      <c r="K183" t="s">
        <v>75</v>
      </c>
      <c r="L183" s="1">
        <v>197300</v>
      </c>
      <c r="M183" s="1">
        <v>631360</v>
      </c>
      <c r="N183" s="1">
        <v>3200</v>
      </c>
      <c r="O183" t="s">
        <v>73</v>
      </c>
    </row>
    <row r="184" spans="1:15" x14ac:dyDescent="0.3">
      <c r="A184" t="s">
        <v>194</v>
      </c>
      <c r="B184" s="2" t="s">
        <v>3</v>
      </c>
      <c r="C184" t="s">
        <v>46</v>
      </c>
      <c r="D184" s="1">
        <v>7150</v>
      </c>
      <c r="E184" s="1">
        <v>17625</v>
      </c>
      <c r="F184" s="1">
        <v>2500</v>
      </c>
      <c r="J184" t="s">
        <v>6</v>
      </c>
      <c r="K184" t="s">
        <v>62</v>
      </c>
      <c r="L184" s="1">
        <v>121355</v>
      </c>
      <c r="M184" s="1">
        <v>397956</v>
      </c>
      <c r="N184" s="1">
        <v>3279</v>
      </c>
      <c r="O184" t="s">
        <v>59</v>
      </c>
    </row>
    <row r="185" spans="1:15" x14ac:dyDescent="0.3">
      <c r="A185" t="s">
        <v>194</v>
      </c>
      <c r="B185" s="2" t="s">
        <v>18</v>
      </c>
      <c r="C185" t="s">
        <v>68</v>
      </c>
      <c r="D185" s="1">
        <v>38000</v>
      </c>
      <c r="E185" s="1">
        <v>89280</v>
      </c>
      <c r="F185" s="1">
        <v>2400</v>
      </c>
      <c r="J185" t="s">
        <v>6</v>
      </c>
      <c r="K185" t="s">
        <v>74</v>
      </c>
      <c r="L185" s="1">
        <v>114075</v>
      </c>
      <c r="M185" s="1">
        <v>365040</v>
      </c>
      <c r="N185" s="1">
        <v>3200</v>
      </c>
      <c r="O185" t="s">
        <v>60</v>
      </c>
    </row>
    <row r="186" spans="1:15" x14ac:dyDescent="0.3">
      <c r="A186" t="s">
        <v>194</v>
      </c>
      <c r="B186" s="2" t="s">
        <v>17</v>
      </c>
      <c r="C186" t="s">
        <v>68</v>
      </c>
      <c r="D186" s="1">
        <v>41407</v>
      </c>
      <c r="E186" s="1">
        <v>120080</v>
      </c>
      <c r="F186" s="1">
        <v>2900</v>
      </c>
      <c r="J186" t="s">
        <v>6</v>
      </c>
      <c r="K186" t="s">
        <v>69</v>
      </c>
      <c r="L186" s="1">
        <v>73900</v>
      </c>
      <c r="M186" s="1">
        <v>240990</v>
      </c>
      <c r="N186" s="1">
        <v>3261</v>
      </c>
      <c r="O186" t="s">
        <v>66</v>
      </c>
    </row>
    <row r="187" spans="1:15" x14ac:dyDescent="0.3">
      <c r="A187" t="s">
        <v>194</v>
      </c>
      <c r="B187" s="2" t="s">
        <v>14</v>
      </c>
      <c r="C187" t="s">
        <v>68</v>
      </c>
      <c r="D187" s="1">
        <v>35000</v>
      </c>
      <c r="E187" s="1">
        <v>122500</v>
      </c>
      <c r="F187" s="1">
        <v>3500</v>
      </c>
      <c r="J187" t="s">
        <v>6</v>
      </c>
      <c r="K187" t="s">
        <v>70</v>
      </c>
      <c r="L187" s="1">
        <v>87000</v>
      </c>
      <c r="M187" s="1">
        <v>217500</v>
      </c>
      <c r="N187" s="1">
        <v>2500</v>
      </c>
      <c r="O187" t="s">
        <v>67</v>
      </c>
    </row>
    <row r="188" spans="1:15" x14ac:dyDescent="0.3">
      <c r="A188" t="s">
        <v>194</v>
      </c>
      <c r="B188" s="2" t="s">
        <v>12</v>
      </c>
      <c r="C188" t="s">
        <v>68</v>
      </c>
      <c r="D188" s="1">
        <v>35000</v>
      </c>
      <c r="E188" s="1">
        <v>105000</v>
      </c>
      <c r="F188" s="1">
        <v>3000</v>
      </c>
      <c r="J188" t="s">
        <v>6</v>
      </c>
      <c r="K188" t="s">
        <v>68</v>
      </c>
      <c r="L188" s="1">
        <v>61500</v>
      </c>
      <c r="M188" s="1">
        <v>153750</v>
      </c>
      <c r="N188" s="1">
        <v>2500</v>
      </c>
      <c r="O188" t="s">
        <v>61</v>
      </c>
    </row>
    <row r="189" spans="1:15" x14ac:dyDescent="0.3">
      <c r="A189" t="s">
        <v>194</v>
      </c>
      <c r="B189" s="2" t="s">
        <v>9</v>
      </c>
      <c r="C189" t="s">
        <v>68</v>
      </c>
      <c r="D189" s="1">
        <v>49500</v>
      </c>
      <c r="E189" s="1">
        <v>173250</v>
      </c>
      <c r="F189" s="1">
        <v>3500</v>
      </c>
      <c r="J189" t="s">
        <v>6</v>
      </c>
      <c r="K189" t="s">
        <v>64</v>
      </c>
      <c r="L189" s="1">
        <v>30500</v>
      </c>
      <c r="M189" s="1">
        <v>85400</v>
      </c>
      <c r="N189" s="1">
        <v>2800</v>
      </c>
      <c r="O189" t="s">
        <v>63</v>
      </c>
    </row>
    <row r="190" spans="1:15" x14ac:dyDescent="0.3">
      <c r="A190" t="s">
        <v>194</v>
      </c>
      <c r="B190" s="2" t="s">
        <v>8</v>
      </c>
      <c r="C190" t="s">
        <v>68</v>
      </c>
      <c r="D190" s="1">
        <v>58100</v>
      </c>
      <c r="E190" s="1">
        <v>174300</v>
      </c>
      <c r="F190" s="1">
        <v>3000</v>
      </c>
      <c r="J190" t="s">
        <v>6</v>
      </c>
      <c r="K190" t="s">
        <v>58</v>
      </c>
      <c r="L190" s="1">
        <v>16290</v>
      </c>
      <c r="M190" s="1">
        <v>52119</v>
      </c>
      <c r="N190" s="1">
        <v>3199</v>
      </c>
      <c r="O190" t="s">
        <v>57</v>
      </c>
    </row>
    <row r="191" spans="1:15" x14ac:dyDescent="0.3">
      <c r="A191" t="s">
        <v>194</v>
      </c>
      <c r="B191" s="2" t="s">
        <v>7</v>
      </c>
      <c r="C191" t="s">
        <v>68</v>
      </c>
      <c r="D191" s="1">
        <v>58100</v>
      </c>
      <c r="E191" s="1">
        <v>174300</v>
      </c>
      <c r="F191" s="1">
        <v>3000</v>
      </c>
      <c r="J191" t="s">
        <v>6</v>
      </c>
      <c r="K191" t="s">
        <v>65</v>
      </c>
      <c r="L191" s="1">
        <v>15500</v>
      </c>
      <c r="M191" s="1">
        <v>38750</v>
      </c>
      <c r="N191" s="1">
        <v>2500</v>
      </c>
      <c r="O191" t="s">
        <v>50</v>
      </c>
    </row>
    <row r="192" spans="1:15" x14ac:dyDescent="0.3">
      <c r="A192" t="s">
        <v>194</v>
      </c>
      <c r="B192" s="2" t="s">
        <v>6</v>
      </c>
      <c r="C192" t="s">
        <v>68</v>
      </c>
      <c r="D192" s="1">
        <v>61500</v>
      </c>
      <c r="E192" s="1">
        <v>153750</v>
      </c>
      <c r="F192" s="1">
        <v>2500</v>
      </c>
      <c r="J192" t="s">
        <v>6</v>
      </c>
      <c r="K192" t="s">
        <v>51</v>
      </c>
      <c r="L192" s="1">
        <v>10200</v>
      </c>
      <c r="M192" s="1">
        <v>30530</v>
      </c>
      <c r="N192" s="1">
        <v>2993</v>
      </c>
      <c r="O192" t="s">
        <v>49</v>
      </c>
    </row>
    <row r="193" spans="1:15" x14ac:dyDescent="0.3">
      <c r="A193" t="s">
        <v>194</v>
      </c>
      <c r="B193" s="2" t="s">
        <v>5</v>
      </c>
      <c r="C193" t="s">
        <v>68</v>
      </c>
      <c r="D193" s="1">
        <v>61500</v>
      </c>
      <c r="E193" s="1">
        <v>100200</v>
      </c>
      <c r="F193" s="1">
        <v>1629</v>
      </c>
      <c r="J193" t="s">
        <v>6</v>
      </c>
      <c r="K193" t="s">
        <v>56</v>
      </c>
      <c r="L193" s="1">
        <v>12000</v>
      </c>
      <c r="M193" s="1">
        <v>30000</v>
      </c>
      <c r="N193" s="1">
        <v>2500</v>
      </c>
      <c r="O193" t="s">
        <v>53</v>
      </c>
    </row>
    <row r="194" spans="1:15" x14ac:dyDescent="0.3">
      <c r="A194" t="s">
        <v>194</v>
      </c>
      <c r="B194" s="2" t="s">
        <v>4</v>
      </c>
      <c r="C194" t="s">
        <v>68</v>
      </c>
      <c r="D194" s="1">
        <v>61500</v>
      </c>
      <c r="E194" s="1">
        <v>239639</v>
      </c>
      <c r="F194" s="1">
        <v>3900</v>
      </c>
      <c r="J194" t="s">
        <v>6</v>
      </c>
      <c r="K194" t="s">
        <v>54</v>
      </c>
      <c r="L194" s="1">
        <v>7500</v>
      </c>
      <c r="M194" s="1">
        <v>18750</v>
      </c>
      <c r="N194" s="1">
        <v>2500</v>
      </c>
      <c r="O194" t="s">
        <v>35</v>
      </c>
    </row>
    <row r="195" spans="1:15" x14ac:dyDescent="0.3">
      <c r="A195" t="s">
        <v>194</v>
      </c>
      <c r="B195" s="2" t="s">
        <v>3</v>
      </c>
      <c r="C195" t="s">
        <v>68</v>
      </c>
      <c r="D195" s="1">
        <v>67650</v>
      </c>
      <c r="E195" s="1">
        <v>188308</v>
      </c>
      <c r="F195" s="1">
        <v>2796</v>
      </c>
      <c r="J195" t="s">
        <v>6</v>
      </c>
      <c r="K195" t="s">
        <v>48</v>
      </c>
      <c r="L195" s="1">
        <v>6500</v>
      </c>
      <c r="M195" s="1">
        <v>16250</v>
      </c>
      <c r="N195" s="1">
        <v>2500</v>
      </c>
      <c r="O195" t="s">
        <v>47</v>
      </c>
    </row>
    <row r="196" spans="1:15" x14ac:dyDescent="0.3">
      <c r="A196" t="s">
        <v>194</v>
      </c>
      <c r="B196" s="2" t="s">
        <v>7</v>
      </c>
      <c r="C196" t="s">
        <v>29</v>
      </c>
      <c r="D196" s="1">
        <v>3200</v>
      </c>
      <c r="E196" s="1">
        <v>8960</v>
      </c>
      <c r="F196" s="1">
        <v>2800</v>
      </c>
      <c r="J196" t="s">
        <v>6</v>
      </c>
      <c r="K196" t="s">
        <v>52</v>
      </c>
      <c r="L196" s="1">
        <v>6000</v>
      </c>
      <c r="M196" s="1">
        <v>15000</v>
      </c>
      <c r="N196" s="1">
        <v>2500</v>
      </c>
      <c r="O196" t="s">
        <v>45</v>
      </c>
    </row>
    <row r="197" spans="1:15" x14ac:dyDescent="0.3">
      <c r="A197" t="s">
        <v>194</v>
      </c>
      <c r="B197" s="2" t="s">
        <v>5</v>
      </c>
      <c r="C197" t="s">
        <v>29</v>
      </c>
      <c r="D197" s="1">
        <v>2500</v>
      </c>
      <c r="E197" s="1">
        <v>3750</v>
      </c>
      <c r="F197" s="1">
        <v>1500</v>
      </c>
      <c r="J197" t="s">
        <v>6</v>
      </c>
      <c r="K197" t="s">
        <v>44</v>
      </c>
      <c r="L197" s="1">
        <v>4500</v>
      </c>
      <c r="M197" s="1">
        <v>11250</v>
      </c>
      <c r="N197" s="1">
        <v>2500</v>
      </c>
      <c r="O197" t="s">
        <v>43</v>
      </c>
    </row>
    <row r="198" spans="1:15" x14ac:dyDescent="0.3">
      <c r="A198" t="s">
        <v>194</v>
      </c>
      <c r="B198" s="2" t="s">
        <v>4</v>
      </c>
      <c r="C198" t="s">
        <v>29</v>
      </c>
      <c r="D198" s="1">
        <v>2500</v>
      </c>
      <c r="E198" s="1">
        <v>8740</v>
      </c>
      <c r="F198" s="1">
        <v>3500</v>
      </c>
      <c r="J198" t="s">
        <v>6</v>
      </c>
      <c r="K198" t="s">
        <v>41</v>
      </c>
      <c r="L198" s="1">
        <v>4500</v>
      </c>
      <c r="M198" s="1">
        <v>11250</v>
      </c>
      <c r="N198" s="1">
        <v>2500</v>
      </c>
      <c r="O198" t="s">
        <v>39</v>
      </c>
    </row>
    <row r="199" spans="1:15" x14ac:dyDescent="0.3">
      <c r="A199" t="s">
        <v>194</v>
      </c>
      <c r="B199" s="2" t="s">
        <v>3</v>
      </c>
      <c r="C199" t="s">
        <v>29</v>
      </c>
      <c r="D199" s="1">
        <v>2750</v>
      </c>
      <c r="E199" s="1">
        <v>6745</v>
      </c>
      <c r="F199" s="1">
        <v>2500</v>
      </c>
      <c r="J199" t="s">
        <v>6</v>
      </c>
      <c r="K199" t="s">
        <v>42</v>
      </c>
      <c r="L199" s="1">
        <v>4500</v>
      </c>
      <c r="M199" s="1">
        <v>11250</v>
      </c>
      <c r="N199" s="1">
        <v>2500</v>
      </c>
      <c r="O199" t="s">
        <v>40</v>
      </c>
    </row>
    <row r="200" spans="1:15" x14ac:dyDescent="0.3">
      <c r="A200" t="s">
        <v>194</v>
      </c>
      <c r="B200" s="2" t="s">
        <v>18</v>
      </c>
      <c r="C200" t="s">
        <v>65</v>
      </c>
      <c r="D200" s="1">
        <v>6000</v>
      </c>
      <c r="E200" s="1">
        <v>12000</v>
      </c>
      <c r="F200" s="1">
        <v>2000</v>
      </c>
      <c r="J200" t="s">
        <v>6</v>
      </c>
      <c r="K200" t="s">
        <v>37</v>
      </c>
      <c r="L200" s="1">
        <v>3600</v>
      </c>
      <c r="M200" s="1">
        <v>10440</v>
      </c>
      <c r="N200" s="1">
        <v>2900</v>
      </c>
      <c r="O200" t="s">
        <v>34</v>
      </c>
    </row>
    <row r="201" spans="1:15" x14ac:dyDescent="0.3">
      <c r="A201" t="s">
        <v>194</v>
      </c>
      <c r="B201" s="2" t="s">
        <v>17</v>
      </c>
      <c r="C201" t="s">
        <v>65</v>
      </c>
      <c r="D201" s="1">
        <v>15750</v>
      </c>
      <c r="E201" s="1">
        <v>37800</v>
      </c>
      <c r="F201" s="1">
        <v>2400</v>
      </c>
      <c r="J201" t="s">
        <v>6</v>
      </c>
      <c r="K201" t="s">
        <v>33</v>
      </c>
      <c r="L201" s="1">
        <v>4000</v>
      </c>
      <c r="M201" s="1">
        <v>10000</v>
      </c>
      <c r="N201" s="1">
        <v>2500</v>
      </c>
      <c r="O201" t="s">
        <v>32</v>
      </c>
    </row>
    <row r="202" spans="1:15" x14ac:dyDescent="0.3">
      <c r="A202" t="s">
        <v>194</v>
      </c>
      <c r="B202" s="2" t="s">
        <v>14</v>
      </c>
      <c r="C202" t="s">
        <v>65</v>
      </c>
      <c r="D202" s="1">
        <v>10000</v>
      </c>
      <c r="E202" s="1">
        <v>35000</v>
      </c>
      <c r="F202" s="1">
        <v>3500</v>
      </c>
      <c r="J202" t="s">
        <v>6</v>
      </c>
      <c r="K202" t="s">
        <v>38</v>
      </c>
      <c r="L202" s="1">
        <v>3500</v>
      </c>
      <c r="M202" s="1">
        <v>8750</v>
      </c>
      <c r="N202" s="1">
        <v>2500</v>
      </c>
      <c r="O202" t="s">
        <v>36</v>
      </c>
    </row>
    <row r="203" spans="1:15" x14ac:dyDescent="0.3">
      <c r="A203" t="s">
        <v>194</v>
      </c>
      <c r="B203" s="2" t="s">
        <v>12</v>
      </c>
      <c r="C203" t="s">
        <v>65</v>
      </c>
      <c r="D203" s="1">
        <v>12000</v>
      </c>
      <c r="E203" s="1">
        <v>36000</v>
      </c>
      <c r="F203" s="1">
        <v>3000</v>
      </c>
      <c r="J203" t="s">
        <v>6</v>
      </c>
      <c r="K203" t="s">
        <v>31</v>
      </c>
      <c r="L203" s="1">
        <v>2500</v>
      </c>
      <c r="M203" s="1">
        <v>6250</v>
      </c>
      <c r="N203" s="1">
        <v>2500</v>
      </c>
      <c r="O203" t="s">
        <v>30</v>
      </c>
    </row>
    <row r="204" spans="1:15" x14ac:dyDescent="0.3">
      <c r="A204" t="s">
        <v>194</v>
      </c>
      <c r="B204" s="2" t="s">
        <v>9</v>
      </c>
      <c r="C204" t="s">
        <v>65</v>
      </c>
      <c r="D204" s="1">
        <v>14700</v>
      </c>
      <c r="E204" s="1">
        <v>51450</v>
      </c>
      <c r="F204" s="1">
        <v>3500</v>
      </c>
      <c r="J204" t="s">
        <v>6</v>
      </c>
      <c r="K204" t="s">
        <v>25</v>
      </c>
      <c r="L204" s="1">
        <v>800</v>
      </c>
      <c r="M204" s="1">
        <v>2240</v>
      </c>
      <c r="N204" s="1">
        <v>2800</v>
      </c>
      <c r="O204" t="s">
        <v>22</v>
      </c>
    </row>
    <row r="205" spans="1:15" x14ac:dyDescent="0.3">
      <c r="A205" t="s">
        <v>194</v>
      </c>
      <c r="B205" s="2" t="s">
        <v>8</v>
      </c>
      <c r="C205" t="s">
        <v>65</v>
      </c>
      <c r="D205" s="1">
        <v>15000</v>
      </c>
      <c r="E205" s="1">
        <v>45000</v>
      </c>
      <c r="F205" s="1">
        <v>3000</v>
      </c>
      <c r="L205" s="1">
        <f>SUM(L182:L204)</f>
        <v>1078120</v>
      </c>
      <c r="M205" s="1">
        <f>SUM(M182:M204)</f>
        <v>3340985</v>
      </c>
    </row>
    <row r="206" spans="1:15" x14ac:dyDescent="0.3">
      <c r="A206" t="s">
        <v>194</v>
      </c>
      <c r="B206" s="2" t="s">
        <v>7</v>
      </c>
      <c r="C206" t="s">
        <v>65</v>
      </c>
      <c r="D206" s="1">
        <v>15000</v>
      </c>
      <c r="E206" s="1">
        <v>45000</v>
      </c>
      <c r="F206" s="1">
        <v>3000</v>
      </c>
      <c r="J206" s="53" t="s">
        <v>6</v>
      </c>
      <c r="K206" s="11" t="s">
        <v>192</v>
      </c>
      <c r="L206" s="9">
        <v>1078120</v>
      </c>
      <c r="M206" s="9">
        <v>3340985</v>
      </c>
      <c r="N206" s="9">
        <v>3099</v>
      </c>
    </row>
    <row r="207" spans="1:15" x14ac:dyDescent="0.3">
      <c r="A207" t="s">
        <v>194</v>
      </c>
      <c r="B207" s="2" t="s">
        <v>6</v>
      </c>
      <c r="C207" t="s">
        <v>65</v>
      </c>
      <c r="D207" s="1">
        <v>15500</v>
      </c>
      <c r="E207" s="1">
        <v>38750</v>
      </c>
      <c r="F207" s="1">
        <v>2500</v>
      </c>
      <c r="J207" s="11" t="s">
        <v>128</v>
      </c>
      <c r="K207" s="11" t="s">
        <v>82</v>
      </c>
      <c r="L207" s="9" t="s">
        <v>135</v>
      </c>
      <c r="M207" s="9" t="s">
        <v>130</v>
      </c>
      <c r="N207" s="9" t="s">
        <v>129</v>
      </c>
    </row>
    <row r="208" spans="1:15" x14ac:dyDescent="0.3">
      <c r="A208" t="s">
        <v>194</v>
      </c>
      <c r="B208" s="2" t="s">
        <v>5</v>
      </c>
      <c r="C208" t="s">
        <v>65</v>
      </c>
      <c r="D208" s="1">
        <v>15500</v>
      </c>
      <c r="E208" s="1">
        <v>23250</v>
      </c>
      <c r="F208" s="1">
        <v>1500</v>
      </c>
      <c r="J208" t="s">
        <v>5</v>
      </c>
      <c r="K208" s="3" t="s">
        <v>72</v>
      </c>
      <c r="L208" s="1">
        <v>290600</v>
      </c>
      <c r="M208" s="1">
        <v>830100</v>
      </c>
      <c r="N208" s="1">
        <v>2857</v>
      </c>
      <c r="O208" t="s">
        <v>71</v>
      </c>
    </row>
    <row r="209" spans="1:15" x14ac:dyDescent="0.3">
      <c r="A209" t="s">
        <v>194</v>
      </c>
      <c r="B209" s="2" t="s">
        <v>4</v>
      </c>
      <c r="C209" t="s">
        <v>65</v>
      </c>
      <c r="D209" s="1">
        <v>15500</v>
      </c>
      <c r="E209" s="1">
        <v>53710</v>
      </c>
      <c r="F209" s="1">
        <v>3472</v>
      </c>
      <c r="J209" t="s">
        <v>5</v>
      </c>
      <c r="K209" s="3" t="s">
        <v>75</v>
      </c>
      <c r="L209" s="1">
        <v>200800</v>
      </c>
      <c r="M209" s="1">
        <v>522368</v>
      </c>
      <c r="N209" s="1">
        <v>2601</v>
      </c>
      <c r="O209" t="s">
        <v>73</v>
      </c>
    </row>
    <row r="210" spans="1:15" x14ac:dyDescent="0.3">
      <c r="A210" t="s">
        <v>194</v>
      </c>
      <c r="B210" s="2" t="s">
        <v>3</v>
      </c>
      <c r="C210" t="s">
        <v>65</v>
      </c>
      <c r="D210" s="1">
        <v>61600</v>
      </c>
      <c r="E210" s="1">
        <v>161035</v>
      </c>
      <c r="F210" s="1">
        <v>2623</v>
      </c>
      <c r="J210" t="s">
        <v>5</v>
      </c>
      <c r="K210" s="3" t="s">
        <v>74</v>
      </c>
      <c r="L210" s="1">
        <v>125250</v>
      </c>
      <c r="M210" s="1">
        <v>343530</v>
      </c>
      <c r="N210" s="1">
        <v>2743</v>
      </c>
      <c r="O210" t="s">
        <v>59</v>
      </c>
    </row>
    <row r="211" spans="1:15" x14ac:dyDescent="0.3">
      <c r="A211" t="s">
        <v>194</v>
      </c>
      <c r="B211" s="2" t="s">
        <v>18</v>
      </c>
      <c r="C211" t="s">
        <v>58</v>
      </c>
      <c r="D211" s="1">
        <v>50000</v>
      </c>
      <c r="E211" s="1">
        <v>105600</v>
      </c>
      <c r="F211" s="1">
        <v>2400</v>
      </c>
      <c r="J211" t="s">
        <v>5</v>
      </c>
      <c r="K211" s="3" t="s">
        <v>62</v>
      </c>
      <c r="L211" s="1">
        <v>122455</v>
      </c>
      <c r="M211" s="1">
        <v>334028</v>
      </c>
      <c r="N211" s="1">
        <v>2728</v>
      </c>
      <c r="O211" t="s">
        <v>60</v>
      </c>
    </row>
    <row r="212" spans="1:15" x14ac:dyDescent="0.3">
      <c r="A212" t="s">
        <v>194</v>
      </c>
      <c r="B212" s="2" t="s">
        <v>17</v>
      </c>
      <c r="C212" t="s">
        <v>58</v>
      </c>
      <c r="D212" s="1">
        <v>50000</v>
      </c>
      <c r="E212" s="1">
        <v>105800</v>
      </c>
      <c r="F212" s="1">
        <v>2300</v>
      </c>
      <c r="J212" t="s">
        <v>5</v>
      </c>
      <c r="K212" s="3" t="s">
        <v>69</v>
      </c>
      <c r="L212" s="1">
        <v>77905</v>
      </c>
      <c r="M212" s="1">
        <v>215313</v>
      </c>
      <c r="N212" s="1">
        <v>2764</v>
      </c>
      <c r="O212" t="s">
        <v>66</v>
      </c>
    </row>
    <row r="213" spans="1:15" x14ac:dyDescent="0.3">
      <c r="A213" t="s">
        <v>194</v>
      </c>
      <c r="B213" s="2" t="s">
        <v>14</v>
      </c>
      <c r="C213" t="s">
        <v>58</v>
      </c>
      <c r="D213" s="1">
        <v>22030</v>
      </c>
      <c r="E213" s="1">
        <v>74460</v>
      </c>
      <c r="F213" s="1">
        <v>3400</v>
      </c>
      <c r="J213" t="s">
        <v>5</v>
      </c>
      <c r="K213" s="3" t="s">
        <v>70</v>
      </c>
      <c r="L213" s="1">
        <v>85000</v>
      </c>
      <c r="M213" s="1">
        <v>147500</v>
      </c>
      <c r="N213" s="1">
        <v>1735</v>
      </c>
      <c r="O213" t="s">
        <v>67</v>
      </c>
    </row>
    <row r="214" spans="1:15" x14ac:dyDescent="0.3">
      <c r="A214" t="s">
        <v>194</v>
      </c>
      <c r="B214" s="2" t="s">
        <v>12</v>
      </c>
      <c r="C214" t="s">
        <v>58</v>
      </c>
      <c r="D214" s="1">
        <v>24000</v>
      </c>
      <c r="E214" s="1">
        <v>35808</v>
      </c>
      <c r="F214" s="1">
        <v>1600</v>
      </c>
      <c r="J214" t="s">
        <v>5</v>
      </c>
      <c r="K214" s="3" t="s">
        <v>68</v>
      </c>
      <c r="L214" s="1">
        <v>61500</v>
      </c>
      <c r="M214" s="1">
        <v>100200</v>
      </c>
      <c r="N214" s="1">
        <v>1629</v>
      </c>
      <c r="O214" t="s">
        <v>61</v>
      </c>
    </row>
    <row r="215" spans="1:15" x14ac:dyDescent="0.3">
      <c r="A215" t="s">
        <v>194</v>
      </c>
      <c r="B215" s="2" t="s">
        <v>9</v>
      </c>
      <c r="C215" t="s">
        <v>58</v>
      </c>
      <c r="D215" s="1">
        <v>42860</v>
      </c>
      <c r="E215" s="1">
        <v>126262</v>
      </c>
      <c r="F215" s="1">
        <v>3019</v>
      </c>
      <c r="J215" t="s">
        <v>5</v>
      </c>
      <c r="K215" s="3" t="s">
        <v>64</v>
      </c>
      <c r="L215" s="1">
        <v>30500</v>
      </c>
      <c r="M215" s="1">
        <v>73900</v>
      </c>
      <c r="N215" s="1">
        <v>2423</v>
      </c>
      <c r="O215" t="s">
        <v>63</v>
      </c>
    </row>
    <row r="216" spans="1:15" x14ac:dyDescent="0.3">
      <c r="A216" t="s">
        <v>194</v>
      </c>
      <c r="B216" s="2" t="s">
        <v>8</v>
      </c>
      <c r="C216" t="s">
        <v>58</v>
      </c>
      <c r="D216" s="1">
        <v>17300</v>
      </c>
      <c r="E216" s="1">
        <v>52587</v>
      </c>
      <c r="F216" s="1">
        <v>3153</v>
      </c>
      <c r="J216" t="s">
        <v>5</v>
      </c>
      <c r="K216" s="3" t="s">
        <v>58</v>
      </c>
      <c r="L216" s="1">
        <v>21390</v>
      </c>
      <c r="M216" s="1">
        <v>56896</v>
      </c>
      <c r="N216" s="1">
        <v>2660</v>
      </c>
      <c r="O216" t="s">
        <v>57</v>
      </c>
    </row>
    <row r="217" spans="1:15" x14ac:dyDescent="0.3">
      <c r="A217" t="s">
        <v>194</v>
      </c>
      <c r="B217" s="2" t="s">
        <v>7</v>
      </c>
      <c r="C217" t="s">
        <v>58</v>
      </c>
      <c r="D217" s="1">
        <v>17200</v>
      </c>
      <c r="E217" s="1">
        <v>59090</v>
      </c>
      <c r="F217" s="1">
        <v>3435</v>
      </c>
      <c r="J217" t="s">
        <v>5</v>
      </c>
      <c r="K217" s="3" t="s">
        <v>51</v>
      </c>
      <c r="L217" s="1">
        <v>20200</v>
      </c>
      <c r="M217" s="1">
        <v>51795</v>
      </c>
      <c r="N217" s="1">
        <v>2564</v>
      </c>
      <c r="O217" t="s">
        <v>50</v>
      </c>
    </row>
    <row r="218" spans="1:15" x14ac:dyDescent="0.3">
      <c r="A218" t="s">
        <v>194</v>
      </c>
      <c r="B218" s="2" t="s">
        <v>6</v>
      </c>
      <c r="C218" t="s">
        <v>58</v>
      </c>
      <c r="D218" s="1">
        <v>16290</v>
      </c>
      <c r="E218" s="1">
        <v>52119</v>
      </c>
      <c r="F218" s="1">
        <v>3199</v>
      </c>
      <c r="J218" t="s">
        <v>5</v>
      </c>
      <c r="K218" s="3" t="s">
        <v>65</v>
      </c>
      <c r="L218" s="1">
        <v>15500</v>
      </c>
      <c r="M218" s="1">
        <v>23250</v>
      </c>
      <c r="N218" s="1">
        <v>1500</v>
      </c>
      <c r="O218" t="s">
        <v>49</v>
      </c>
    </row>
    <row r="219" spans="1:15" x14ac:dyDescent="0.3">
      <c r="A219" t="s">
        <v>194</v>
      </c>
      <c r="B219" s="2" t="s">
        <v>5</v>
      </c>
      <c r="C219" t="s">
        <v>58</v>
      </c>
      <c r="D219" s="1">
        <v>21390</v>
      </c>
      <c r="E219" s="1">
        <v>56896</v>
      </c>
      <c r="F219" s="1">
        <v>2660</v>
      </c>
      <c r="J219" t="s">
        <v>5</v>
      </c>
      <c r="K219" s="3" t="s">
        <v>56</v>
      </c>
      <c r="L219" s="1">
        <v>13000</v>
      </c>
      <c r="M219" s="1">
        <v>19500</v>
      </c>
      <c r="N219" s="1">
        <v>1500</v>
      </c>
      <c r="O219" t="s">
        <v>53</v>
      </c>
    </row>
    <row r="220" spans="1:15" x14ac:dyDescent="0.3">
      <c r="A220" t="s">
        <v>194</v>
      </c>
      <c r="B220" s="2" t="s">
        <v>4</v>
      </c>
      <c r="C220" t="s">
        <v>58</v>
      </c>
      <c r="D220" s="1">
        <v>10780</v>
      </c>
      <c r="E220" s="1">
        <v>27593</v>
      </c>
      <c r="F220" s="1">
        <v>2581</v>
      </c>
      <c r="J220" t="s">
        <v>5</v>
      </c>
      <c r="K220" s="3" t="s">
        <v>37</v>
      </c>
      <c r="L220" s="1">
        <v>5600</v>
      </c>
      <c r="M220" s="1">
        <v>14392</v>
      </c>
      <c r="N220" s="1">
        <v>2570</v>
      </c>
      <c r="O220" t="s">
        <v>35</v>
      </c>
    </row>
    <row r="221" spans="1:15" x14ac:dyDescent="0.3">
      <c r="A221" t="s">
        <v>194</v>
      </c>
      <c r="B221" s="2" t="s">
        <v>3</v>
      </c>
      <c r="C221" t="s">
        <v>58</v>
      </c>
      <c r="D221" s="1">
        <v>26150</v>
      </c>
      <c r="E221" s="1">
        <v>63088</v>
      </c>
      <c r="F221" s="1">
        <v>2652</v>
      </c>
      <c r="J221" t="s">
        <v>5</v>
      </c>
      <c r="K221" s="3" t="s">
        <v>54</v>
      </c>
      <c r="L221" s="1">
        <v>8000</v>
      </c>
      <c r="M221" s="1">
        <v>12000</v>
      </c>
      <c r="N221" s="1">
        <v>1500</v>
      </c>
      <c r="O221" t="s">
        <v>47</v>
      </c>
    </row>
    <row r="222" spans="1:15" x14ac:dyDescent="0.3">
      <c r="A222" t="s">
        <v>194</v>
      </c>
      <c r="B222" s="2" t="s">
        <v>18</v>
      </c>
      <c r="C222" t="s">
        <v>42</v>
      </c>
      <c r="D222" s="1">
        <v>3000</v>
      </c>
      <c r="E222" s="1">
        <v>7500</v>
      </c>
      <c r="F222" s="1">
        <v>2500</v>
      </c>
      <c r="J222" t="s">
        <v>5</v>
      </c>
      <c r="K222" s="3" t="s">
        <v>52</v>
      </c>
      <c r="L222" s="1">
        <v>8000</v>
      </c>
      <c r="M222" s="1">
        <v>12000</v>
      </c>
      <c r="N222" s="1">
        <v>1500</v>
      </c>
      <c r="O222" t="s">
        <v>45</v>
      </c>
    </row>
    <row r="223" spans="1:15" x14ac:dyDescent="0.3">
      <c r="A223" t="s">
        <v>194</v>
      </c>
      <c r="B223" s="2" t="s">
        <v>17</v>
      </c>
      <c r="C223" t="s">
        <v>42</v>
      </c>
      <c r="D223" s="1">
        <v>2000</v>
      </c>
      <c r="E223" s="1">
        <v>5400</v>
      </c>
      <c r="F223" s="1">
        <v>2700</v>
      </c>
      <c r="J223" t="s">
        <v>5</v>
      </c>
      <c r="K223" s="3" t="s">
        <v>48</v>
      </c>
      <c r="L223" s="1">
        <v>7000</v>
      </c>
      <c r="M223" s="1">
        <v>10500</v>
      </c>
      <c r="N223" s="1">
        <v>1500</v>
      </c>
      <c r="O223" t="s">
        <v>43</v>
      </c>
    </row>
    <row r="224" spans="1:15" x14ac:dyDescent="0.3">
      <c r="A224" t="s">
        <v>194</v>
      </c>
      <c r="B224" s="2" t="s">
        <v>14</v>
      </c>
      <c r="C224" t="s">
        <v>42</v>
      </c>
      <c r="D224" s="1">
        <v>3000</v>
      </c>
      <c r="E224" s="1">
        <v>10500</v>
      </c>
      <c r="F224" s="1">
        <v>3500</v>
      </c>
      <c r="J224" t="s">
        <v>5</v>
      </c>
      <c r="K224" s="3" t="s">
        <v>46</v>
      </c>
      <c r="L224" s="1">
        <v>6500</v>
      </c>
      <c r="M224" s="1">
        <v>9750</v>
      </c>
      <c r="N224" s="1">
        <v>1500</v>
      </c>
      <c r="O224" t="s">
        <v>39</v>
      </c>
    </row>
    <row r="225" spans="1:15" x14ac:dyDescent="0.3">
      <c r="A225" t="s">
        <v>194</v>
      </c>
      <c r="B225" s="2" t="s">
        <v>12</v>
      </c>
      <c r="C225" t="s">
        <v>42</v>
      </c>
      <c r="D225" s="1">
        <v>3500</v>
      </c>
      <c r="E225" s="1">
        <v>10500</v>
      </c>
      <c r="F225" s="1">
        <v>3000</v>
      </c>
      <c r="J225" t="s">
        <v>5</v>
      </c>
      <c r="K225" s="3" t="s">
        <v>44</v>
      </c>
      <c r="L225" s="1">
        <v>5000</v>
      </c>
      <c r="M225" s="1">
        <v>7500</v>
      </c>
      <c r="N225" s="1">
        <v>1500</v>
      </c>
      <c r="O225" t="s">
        <v>40</v>
      </c>
    </row>
    <row r="226" spans="1:15" x14ac:dyDescent="0.3">
      <c r="A226" t="s">
        <v>194</v>
      </c>
      <c r="B226" s="2" t="s">
        <v>9</v>
      </c>
      <c r="C226" t="s">
        <v>42</v>
      </c>
      <c r="D226" s="1">
        <v>3500</v>
      </c>
      <c r="E226" s="1">
        <v>12180</v>
      </c>
      <c r="F226" s="1">
        <v>3480</v>
      </c>
      <c r="J226" t="s">
        <v>5</v>
      </c>
      <c r="K226" s="3" t="s">
        <v>41</v>
      </c>
      <c r="L226" s="1">
        <v>5000</v>
      </c>
      <c r="M226" s="1">
        <v>7500</v>
      </c>
      <c r="N226" s="1">
        <v>1500</v>
      </c>
      <c r="O226" t="s">
        <v>34</v>
      </c>
    </row>
    <row r="227" spans="1:15" x14ac:dyDescent="0.3">
      <c r="A227" t="s">
        <v>194</v>
      </c>
      <c r="B227" s="2" t="s">
        <v>8</v>
      </c>
      <c r="C227" t="s">
        <v>42</v>
      </c>
      <c r="D227" s="1">
        <v>4000</v>
      </c>
      <c r="E227" s="1">
        <v>12000</v>
      </c>
      <c r="F227" s="1">
        <v>3000</v>
      </c>
      <c r="J227" t="s">
        <v>5</v>
      </c>
      <c r="K227" s="3" t="s">
        <v>42</v>
      </c>
      <c r="L227" s="1">
        <v>5000</v>
      </c>
      <c r="M227" s="1">
        <v>7500</v>
      </c>
      <c r="N227" s="1">
        <v>1500</v>
      </c>
      <c r="O227" t="s">
        <v>32</v>
      </c>
    </row>
    <row r="228" spans="1:15" x14ac:dyDescent="0.3">
      <c r="A228" t="s">
        <v>194</v>
      </c>
      <c r="B228" s="2" t="s">
        <v>7</v>
      </c>
      <c r="C228" t="s">
        <v>42</v>
      </c>
      <c r="D228" s="1">
        <v>4000</v>
      </c>
      <c r="E228" s="1">
        <v>12000</v>
      </c>
      <c r="F228" s="1">
        <v>3000</v>
      </c>
      <c r="J228" t="s">
        <v>5</v>
      </c>
      <c r="K228" s="3" t="s">
        <v>38</v>
      </c>
      <c r="L228" s="1">
        <v>4500</v>
      </c>
      <c r="M228" s="1">
        <v>6750</v>
      </c>
      <c r="N228" s="1">
        <v>1500</v>
      </c>
      <c r="O228" t="s">
        <v>36</v>
      </c>
    </row>
    <row r="229" spans="1:15" x14ac:dyDescent="0.3">
      <c r="A229" t="s">
        <v>194</v>
      </c>
      <c r="B229" s="2" t="s">
        <v>6</v>
      </c>
      <c r="C229" t="s">
        <v>42</v>
      </c>
      <c r="D229" s="1">
        <v>4500</v>
      </c>
      <c r="E229" s="1">
        <v>11250</v>
      </c>
      <c r="F229" s="1">
        <v>2500</v>
      </c>
      <c r="J229" t="s">
        <v>5</v>
      </c>
      <c r="K229" s="3" t="s">
        <v>33</v>
      </c>
      <c r="L229" s="1">
        <v>4000</v>
      </c>
      <c r="M229" s="1">
        <v>6000</v>
      </c>
      <c r="N229" s="1">
        <v>1500</v>
      </c>
      <c r="O229" t="s">
        <v>30</v>
      </c>
    </row>
    <row r="230" spans="1:15" x14ac:dyDescent="0.3">
      <c r="A230" t="s">
        <v>194</v>
      </c>
      <c r="B230" s="2" t="s">
        <v>5</v>
      </c>
      <c r="C230" t="s">
        <v>42</v>
      </c>
      <c r="D230" s="1">
        <v>5000</v>
      </c>
      <c r="E230" s="1">
        <v>7500</v>
      </c>
      <c r="F230" s="1">
        <v>1500</v>
      </c>
      <c r="J230" t="s">
        <v>5</v>
      </c>
      <c r="K230" s="3" t="s">
        <v>31</v>
      </c>
      <c r="L230" s="1">
        <v>3000</v>
      </c>
      <c r="M230" s="1">
        <v>4500</v>
      </c>
      <c r="N230" s="1">
        <v>1500</v>
      </c>
      <c r="O230" t="s">
        <v>22</v>
      </c>
    </row>
    <row r="231" spans="1:15" x14ac:dyDescent="0.3">
      <c r="A231" t="s">
        <v>194</v>
      </c>
      <c r="B231" s="2" t="s">
        <v>4</v>
      </c>
      <c r="C231" t="s">
        <v>42</v>
      </c>
      <c r="D231" s="1">
        <v>5000</v>
      </c>
      <c r="E231" s="1">
        <v>17436</v>
      </c>
      <c r="F231" s="1">
        <v>3492</v>
      </c>
      <c r="J231" t="s">
        <v>5</v>
      </c>
      <c r="K231" s="3" t="s">
        <v>29</v>
      </c>
      <c r="L231" s="1">
        <v>2500</v>
      </c>
      <c r="M231" s="1">
        <v>3750</v>
      </c>
      <c r="N231" s="1">
        <v>1500</v>
      </c>
      <c r="O231" t="s">
        <v>28</v>
      </c>
    </row>
    <row r="232" spans="1:15" x14ac:dyDescent="0.3">
      <c r="A232" t="s">
        <v>194</v>
      </c>
      <c r="B232" s="2" t="s">
        <v>3</v>
      </c>
      <c r="C232" t="s">
        <v>42</v>
      </c>
      <c r="D232" s="1">
        <v>5500</v>
      </c>
      <c r="E232" s="1">
        <v>15154</v>
      </c>
      <c r="F232" s="1">
        <v>2840</v>
      </c>
      <c r="J232" t="s">
        <v>5</v>
      </c>
      <c r="K232" s="3" t="s">
        <v>25</v>
      </c>
      <c r="L232" s="1">
        <v>800</v>
      </c>
      <c r="M232" s="1">
        <v>2160</v>
      </c>
      <c r="N232" s="1">
        <v>2700</v>
      </c>
      <c r="O232" t="s">
        <v>23</v>
      </c>
    </row>
    <row r="233" spans="1:15" x14ac:dyDescent="0.3">
      <c r="A233" t="s">
        <v>194</v>
      </c>
      <c r="B233" s="2" t="s">
        <v>18</v>
      </c>
      <c r="C233" t="s">
        <v>52</v>
      </c>
      <c r="D233" s="1">
        <v>2000</v>
      </c>
      <c r="E233" s="1">
        <v>5000</v>
      </c>
      <c r="F233" s="1">
        <v>2500</v>
      </c>
      <c r="J233" t="s">
        <v>5</v>
      </c>
      <c r="K233" s="3" t="s">
        <v>27</v>
      </c>
      <c r="L233" s="1">
        <v>500</v>
      </c>
      <c r="M233" s="1">
        <v>750</v>
      </c>
      <c r="N233" s="1">
        <v>1500</v>
      </c>
      <c r="O233" t="s">
        <v>24</v>
      </c>
    </row>
    <row r="234" spans="1:15" x14ac:dyDescent="0.3">
      <c r="A234" t="s">
        <v>194</v>
      </c>
      <c r="B234" s="2" t="s">
        <v>17</v>
      </c>
      <c r="C234" t="s">
        <v>52</v>
      </c>
      <c r="D234" s="1">
        <v>1500</v>
      </c>
      <c r="E234" s="1">
        <v>3600</v>
      </c>
      <c r="F234" s="1">
        <v>2400</v>
      </c>
      <c r="L234" s="1">
        <f>SUM(L208:L233)</f>
        <v>1129500</v>
      </c>
      <c r="M234" s="1">
        <f>SUM(M208:M233)</f>
        <v>2823432</v>
      </c>
    </row>
    <row r="235" spans="1:15" x14ac:dyDescent="0.3">
      <c r="A235" t="s">
        <v>194</v>
      </c>
      <c r="B235" s="2" t="s">
        <v>14</v>
      </c>
      <c r="C235" t="s">
        <v>52</v>
      </c>
      <c r="D235" s="1">
        <v>2500</v>
      </c>
      <c r="E235" s="1">
        <v>7000</v>
      </c>
      <c r="F235" s="1">
        <v>2800</v>
      </c>
      <c r="J235" s="53" t="s">
        <v>5</v>
      </c>
      <c r="K235" s="11" t="s">
        <v>192</v>
      </c>
      <c r="L235" s="9">
        <v>1129500</v>
      </c>
      <c r="M235" s="9">
        <v>2823432</v>
      </c>
      <c r="N235" s="9">
        <v>2500</v>
      </c>
    </row>
    <row r="236" spans="1:15" x14ac:dyDescent="0.3">
      <c r="A236" t="s">
        <v>194</v>
      </c>
      <c r="B236" s="2" t="s">
        <v>12</v>
      </c>
      <c r="C236" t="s">
        <v>52</v>
      </c>
      <c r="D236" s="1">
        <v>2500</v>
      </c>
      <c r="E236" s="1">
        <v>5000</v>
      </c>
      <c r="F236" s="1">
        <v>2000</v>
      </c>
      <c r="J236" s="11" t="s">
        <v>128</v>
      </c>
      <c r="K236" s="11" t="s">
        <v>82</v>
      </c>
      <c r="L236" s="9" t="s">
        <v>135</v>
      </c>
      <c r="M236" s="9" t="s">
        <v>130</v>
      </c>
      <c r="N236" s="9" t="s">
        <v>129</v>
      </c>
    </row>
    <row r="237" spans="1:15" x14ac:dyDescent="0.3">
      <c r="A237" t="s">
        <v>194</v>
      </c>
      <c r="B237" s="2" t="s">
        <v>9</v>
      </c>
      <c r="C237" t="s">
        <v>52</v>
      </c>
      <c r="D237" s="1">
        <v>2000</v>
      </c>
      <c r="E237" s="1">
        <v>5800</v>
      </c>
      <c r="F237" s="1">
        <v>2900</v>
      </c>
      <c r="J237" t="s">
        <v>4</v>
      </c>
      <c r="K237" s="3" t="s">
        <v>72</v>
      </c>
      <c r="L237" s="1">
        <v>275300</v>
      </c>
      <c r="M237" s="1">
        <v>616620</v>
      </c>
      <c r="N237" s="1">
        <v>2318</v>
      </c>
      <c r="O237" t="s">
        <v>71</v>
      </c>
    </row>
    <row r="238" spans="1:15" x14ac:dyDescent="0.3">
      <c r="A238" t="s">
        <v>194</v>
      </c>
      <c r="B238" s="2" t="s">
        <v>8</v>
      </c>
      <c r="C238" t="s">
        <v>52</v>
      </c>
      <c r="D238" s="1">
        <v>2000</v>
      </c>
      <c r="E238" s="1">
        <v>6000</v>
      </c>
      <c r="F238" s="1">
        <v>3000</v>
      </c>
      <c r="J238" t="s">
        <v>4</v>
      </c>
      <c r="K238" s="3" t="s">
        <v>75</v>
      </c>
      <c r="L238" s="1">
        <v>215400</v>
      </c>
      <c r="M238" s="1">
        <v>613265</v>
      </c>
      <c r="N238" s="1">
        <v>2860</v>
      </c>
      <c r="O238" t="s">
        <v>73</v>
      </c>
    </row>
    <row r="239" spans="1:15" x14ac:dyDescent="0.3">
      <c r="A239" t="s">
        <v>194</v>
      </c>
      <c r="B239" s="2" t="s">
        <v>7</v>
      </c>
      <c r="C239" t="s">
        <v>52</v>
      </c>
      <c r="D239" s="1">
        <v>2500</v>
      </c>
      <c r="E239" s="1">
        <v>7500</v>
      </c>
      <c r="F239" s="1">
        <v>3000</v>
      </c>
      <c r="J239" t="s">
        <v>4</v>
      </c>
      <c r="K239" s="3" t="s">
        <v>74</v>
      </c>
      <c r="L239" s="1">
        <v>135500</v>
      </c>
      <c r="M239" s="1">
        <v>388420</v>
      </c>
      <c r="N239" s="1">
        <v>2886</v>
      </c>
      <c r="O239" t="s">
        <v>59</v>
      </c>
    </row>
    <row r="240" spans="1:15" x14ac:dyDescent="0.3">
      <c r="A240" t="s">
        <v>194</v>
      </c>
      <c r="B240" s="2" t="s">
        <v>6</v>
      </c>
      <c r="C240" t="s">
        <v>52</v>
      </c>
      <c r="D240" s="1">
        <v>6000</v>
      </c>
      <c r="E240" s="1">
        <v>15000</v>
      </c>
      <c r="F240" s="1">
        <v>2500</v>
      </c>
      <c r="J240" t="s">
        <v>4</v>
      </c>
      <c r="K240" s="3" t="s">
        <v>70</v>
      </c>
      <c r="L240" s="1">
        <v>85000</v>
      </c>
      <c r="M240" s="1">
        <v>296069</v>
      </c>
      <c r="N240" s="1">
        <v>3489</v>
      </c>
      <c r="O240" t="s">
        <v>60</v>
      </c>
    </row>
    <row r="241" spans="1:15" x14ac:dyDescent="0.3">
      <c r="A241" t="s">
        <v>194</v>
      </c>
      <c r="B241" s="2" t="s">
        <v>5</v>
      </c>
      <c r="C241" t="s">
        <v>52</v>
      </c>
      <c r="D241" s="1">
        <v>8000</v>
      </c>
      <c r="E241" s="1">
        <v>12000</v>
      </c>
      <c r="F241" s="1">
        <v>1500</v>
      </c>
      <c r="J241" t="s">
        <v>4</v>
      </c>
      <c r="K241" s="3" t="s">
        <v>68</v>
      </c>
      <c r="L241" s="1">
        <v>61500</v>
      </c>
      <c r="M241" s="1">
        <v>239639</v>
      </c>
      <c r="N241" s="1">
        <v>3900</v>
      </c>
      <c r="O241" t="s">
        <v>66</v>
      </c>
    </row>
    <row r="242" spans="1:15" x14ac:dyDescent="0.3">
      <c r="A242" t="s">
        <v>194</v>
      </c>
      <c r="B242" s="2" t="s">
        <v>4</v>
      </c>
      <c r="C242" t="s">
        <v>52</v>
      </c>
      <c r="D242" s="1">
        <v>8000</v>
      </c>
      <c r="E242" s="1">
        <v>27729</v>
      </c>
      <c r="F242" s="1">
        <v>3470</v>
      </c>
      <c r="J242" t="s">
        <v>4</v>
      </c>
      <c r="K242" s="3" t="s">
        <v>69</v>
      </c>
      <c r="L242" s="1">
        <v>74500</v>
      </c>
      <c r="M242" s="1">
        <v>213076</v>
      </c>
      <c r="N242" s="1">
        <v>2879</v>
      </c>
      <c r="O242" t="s">
        <v>67</v>
      </c>
    </row>
    <row r="243" spans="1:15" x14ac:dyDescent="0.3">
      <c r="A243" t="s">
        <v>194</v>
      </c>
      <c r="B243" s="2" t="s">
        <v>3</v>
      </c>
      <c r="C243" t="s">
        <v>52</v>
      </c>
      <c r="D243" s="1">
        <v>8800</v>
      </c>
      <c r="E243" s="1">
        <v>22145</v>
      </c>
      <c r="F243" s="1">
        <v>2575</v>
      </c>
      <c r="J243" t="s">
        <v>4</v>
      </c>
      <c r="K243" s="3" t="s">
        <v>62</v>
      </c>
      <c r="L243" s="1">
        <v>117500</v>
      </c>
      <c r="M243" s="1">
        <v>199254</v>
      </c>
      <c r="N243" s="1">
        <v>1767</v>
      </c>
      <c r="O243" t="s">
        <v>61</v>
      </c>
    </row>
    <row r="244" spans="1:15" x14ac:dyDescent="0.3">
      <c r="A244" t="s">
        <v>194</v>
      </c>
      <c r="B244" s="2" t="s">
        <v>17</v>
      </c>
      <c r="C244" t="s">
        <v>25</v>
      </c>
      <c r="D244" s="1">
        <v>3000</v>
      </c>
      <c r="E244" s="1">
        <v>8700</v>
      </c>
      <c r="F244" s="1">
        <v>2900</v>
      </c>
      <c r="J244" t="s">
        <v>4</v>
      </c>
      <c r="K244" s="3" t="s">
        <v>64</v>
      </c>
      <c r="L244" s="1">
        <v>30100</v>
      </c>
      <c r="M244" s="1">
        <v>69717</v>
      </c>
      <c r="N244" s="1">
        <v>2351</v>
      </c>
      <c r="O244" t="s">
        <v>63</v>
      </c>
    </row>
    <row r="245" spans="1:15" x14ac:dyDescent="0.3">
      <c r="A245" t="s">
        <v>194</v>
      </c>
      <c r="B245" s="2" t="s">
        <v>12</v>
      </c>
      <c r="C245" t="s">
        <v>25</v>
      </c>
      <c r="D245" s="1">
        <v>500</v>
      </c>
      <c r="E245" s="1">
        <v>550</v>
      </c>
      <c r="F245" s="1">
        <v>1100</v>
      </c>
      <c r="J245" t="s">
        <v>4</v>
      </c>
      <c r="K245" s="3" t="s">
        <v>65</v>
      </c>
      <c r="L245" s="1">
        <v>15500</v>
      </c>
      <c r="M245" s="1">
        <v>53710</v>
      </c>
      <c r="N245" s="1">
        <v>3472</v>
      </c>
      <c r="O245" t="s">
        <v>57</v>
      </c>
    </row>
    <row r="246" spans="1:15" x14ac:dyDescent="0.3">
      <c r="A246" t="s">
        <v>194</v>
      </c>
      <c r="B246" s="2" t="s">
        <v>9</v>
      </c>
      <c r="C246" t="s">
        <v>25</v>
      </c>
      <c r="D246" s="1">
        <v>550</v>
      </c>
      <c r="E246" s="1">
        <v>1760</v>
      </c>
      <c r="F246" s="1">
        <v>3200</v>
      </c>
      <c r="J246" t="s">
        <v>4</v>
      </c>
      <c r="K246" s="3" t="s">
        <v>51</v>
      </c>
      <c r="L246" s="1">
        <v>22400</v>
      </c>
      <c r="M246" s="1">
        <v>50798</v>
      </c>
      <c r="N246" s="1">
        <v>2286</v>
      </c>
      <c r="O246" t="s">
        <v>50</v>
      </c>
    </row>
    <row r="247" spans="1:15" x14ac:dyDescent="0.3">
      <c r="A247" t="s">
        <v>194</v>
      </c>
      <c r="B247" s="2" t="s">
        <v>8</v>
      </c>
      <c r="C247" t="s">
        <v>25</v>
      </c>
      <c r="D247" s="1">
        <v>800</v>
      </c>
      <c r="E247" s="1">
        <v>1984</v>
      </c>
      <c r="F247" s="1">
        <v>3200</v>
      </c>
      <c r="J247" t="s">
        <v>4</v>
      </c>
      <c r="K247" s="3" t="s">
        <v>56</v>
      </c>
      <c r="L247" s="1">
        <v>13000</v>
      </c>
      <c r="M247" s="1">
        <v>48848</v>
      </c>
      <c r="N247" s="1">
        <v>3786</v>
      </c>
      <c r="O247" t="s">
        <v>49</v>
      </c>
    </row>
    <row r="248" spans="1:15" x14ac:dyDescent="0.3">
      <c r="A248" t="s">
        <v>194</v>
      </c>
      <c r="B248" s="2" t="s">
        <v>7</v>
      </c>
      <c r="C248" t="s">
        <v>25</v>
      </c>
      <c r="D248" s="1">
        <v>800</v>
      </c>
      <c r="E248" s="1">
        <v>2400</v>
      </c>
      <c r="F248" s="1">
        <v>3000</v>
      </c>
      <c r="J248" t="s">
        <v>4</v>
      </c>
      <c r="K248" s="3" t="s">
        <v>54</v>
      </c>
      <c r="L248" s="1">
        <v>10000</v>
      </c>
      <c r="M248" s="1">
        <v>32832</v>
      </c>
      <c r="N248" s="1">
        <v>3300</v>
      </c>
      <c r="O248" t="s">
        <v>53</v>
      </c>
    </row>
    <row r="249" spans="1:15" x14ac:dyDescent="0.3">
      <c r="A249" t="s">
        <v>194</v>
      </c>
      <c r="B249" s="2" t="s">
        <v>6</v>
      </c>
      <c r="C249" t="s">
        <v>25</v>
      </c>
      <c r="D249" s="1">
        <v>800</v>
      </c>
      <c r="E249" s="1">
        <v>2240</v>
      </c>
      <c r="F249" s="1">
        <v>2800</v>
      </c>
      <c r="J249" t="s">
        <v>4</v>
      </c>
      <c r="K249" s="3" t="s">
        <v>52</v>
      </c>
      <c r="L249" s="1">
        <v>8000</v>
      </c>
      <c r="M249" s="1">
        <v>27729</v>
      </c>
      <c r="N249" s="1">
        <v>3470</v>
      </c>
      <c r="O249" t="s">
        <v>35</v>
      </c>
    </row>
    <row r="250" spans="1:15" x14ac:dyDescent="0.3">
      <c r="A250" t="s">
        <v>194</v>
      </c>
      <c r="B250" s="2" t="s">
        <v>5</v>
      </c>
      <c r="C250" t="s">
        <v>25</v>
      </c>
      <c r="D250" s="1">
        <v>800</v>
      </c>
      <c r="E250" s="1">
        <v>2160</v>
      </c>
      <c r="F250" s="1">
        <v>2700</v>
      </c>
      <c r="J250" t="s">
        <v>4</v>
      </c>
      <c r="K250" s="3" t="s">
        <v>58</v>
      </c>
      <c r="L250" s="1">
        <v>10780</v>
      </c>
      <c r="M250" s="1">
        <v>27593</v>
      </c>
      <c r="N250" s="1">
        <v>2581</v>
      </c>
      <c r="O250" t="s">
        <v>47</v>
      </c>
    </row>
    <row r="251" spans="1:15" x14ac:dyDescent="0.3">
      <c r="A251" t="s">
        <v>194</v>
      </c>
      <c r="B251" s="2" t="s">
        <v>4</v>
      </c>
      <c r="C251" t="s">
        <v>25</v>
      </c>
      <c r="D251" s="1">
        <v>900</v>
      </c>
      <c r="E251" s="1">
        <v>2075</v>
      </c>
      <c r="F251" s="1">
        <v>2500</v>
      </c>
      <c r="J251" t="s">
        <v>4</v>
      </c>
      <c r="K251" s="3" t="s">
        <v>46</v>
      </c>
      <c r="L251" s="1">
        <v>6500</v>
      </c>
      <c r="M251" s="1">
        <v>22733</v>
      </c>
      <c r="N251" s="1">
        <v>3500</v>
      </c>
      <c r="O251" t="s">
        <v>45</v>
      </c>
    </row>
    <row r="252" spans="1:15" x14ac:dyDescent="0.3">
      <c r="A252" t="s">
        <v>194</v>
      </c>
      <c r="B252" s="2" t="s">
        <v>3</v>
      </c>
      <c r="C252" t="s">
        <v>25</v>
      </c>
      <c r="D252" s="1">
        <v>1040</v>
      </c>
      <c r="E252" s="1">
        <v>544</v>
      </c>
      <c r="F252" s="1">
        <v>1700</v>
      </c>
      <c r="J252" t="s">
        <v>4</v>
      </c>
      <c r="K252" s="3" t="s">
        <v>48</v>
      </c>
      <c r="L252" s="1">
        <v>7000</v>
      </c>
      <c r="M252" s="1">
        <v>21429</v>
      </c>
      <c r="N252" s="1">
        <v>3066</v>
      </c>
      <c r="O252" t="s">
        <v>43</v>
      </c>
    </row>
    <row r="253" spans="1:15" x14ac:dyDescent="0.3">
      <c r="A253" t="s">
        <v>194</v>
      </c>
      <c r="B253" s="2" t="s">
        <v>18</v>
      </c>
      <c r="C253" t="s">
        <v>33</v>
      </c>
      <c r="D253" s="1">
        <v>3500</v>
      </c>
      <c r="E253" s="1">
        <v>8750</v>
      </c>
      <c r="F253" s="1">
        <v>2500</v>
      </c>
      <c r="J253" t="s">
        <v>4</v>
      </c>
      <c r="K253" s="3" t="s">
        <v>42</v>
      </c>
      <c r="L253" s="1">
        <v>5000</v>
      </c>
      <c r="M253" s="1">
        <v>17436</v>
      </c>
      <c r="N253" s="1">
        <v>3492</v>
      </c>
      <c r="O253" t="s">
        <v>39</v>
      </c>
    </row>
    <row r="254" spans="1:15" x14ac:dyDescent="0.3">
      <c r="A254" t="s">
        <v>194</v>
      </c>
      <c r="B254" s="2" t="s">
        <v>14</v>
      </c>
      <c r="C254" t="s">
        <v>33</v>
      </c>
      <c r="D254" s="1">
        <v>3500</v>
      </c>
      <c r="E254" s="1">
        <v>12250</v>
      </c>
      <c r="F254" s="1">
        <v>3500</v>
      </c>
      <c r="J254" t="s">
        <v>4</v>
      </c>
      <c r="K254" s="3" t="s">
        <v>41</v>
      </c>
      <c r="L254" s="1">
        <v>5000</v>
      </c>
      <c r="M254" s="1">
        <v>15162</v>
      </c>
      <c r="N254" s="1">
        <v>3038</v>
      </c>
      <c r="O254" t="s">
        <v>40</v>
      </c>
    </row>
    <row r="255" spans="1:15" x14ac:dyDescent="0.3">
      <c r="A255" t="s">
        <v>194</v>
      </c>
      <c r="B255" s="2" t="s">
        <v>12</v>
      </c>
      <c r="C255" t="s">
        <v>33</v>
      </c>
      <c r="D255" s="1">
        <v>4000</v>
      </c>
      <c r="E255" s="1">
        <v>12000</v>
      </c>
      <c r="F255" s="1">
        <v>3000</v>
      </c>
      <c r="J255" t="s">
        <v>4</v>
      </c>
      <c r="K255" s="3" t="s">
        <v>44</v>
      </c>
      <c r="L255" s="1">
        <v>5000</v>
      </c>
      <c r="M255" s="1">
        <v>15048</v>
      </c>
      <c r="N255" s="1">
        <v>3010</v>
      </c>
      <c r="O255" t="s">
        <v>34</v>
      </c>
    </row>
    <row r="256" spans="1:15" x14ac:dyDescent="0.3">
      <c r="A256" t="s">
        <v>194</v>
      </c>
      <c r="B256" s="2" t="s">
        <v>9</v>
      </c>
      <c r="C256" t="s">
        <v>33</v>
      </c>
      <c r="D256" s="1">
        <v>4000</v>
      </c>
      <c r="E256" s="1">
        <v>14000</v>
      </c>
      <c r="F256" s="1">
        <v>3500</v>
      </c>
      <c r="J256" t="s">
        <v>4</v>
      </c>
      <c r="K256" s="3" t="s">
        <v>33</v>
      </c>
      <c r="L256" s="1">
        <v>4000</v>
      </c>
      <c r="M256" s="1">
        <v>13979</v>
      </c>
      <c r="N256" s="1">
        <v>3500</v>
      </c>
      <c r="O256" t="s">
        <v>32</v>
      </c>
    </row>
    <row r="257" spans="1:15" x14ac:dyDescent="0.3">
      <c r="A257" t="s">
        <v>194</v>
      </c>
      <c r="B257" s="2" t="s">
        <v>8</v>
      </c>
      <c r="C257" t="s">
        <v>33</v>
      </c>
      <c r="D257" s="1">
        <v>4000</v>
      </c>
      <c r="E257" s="1">
        <v>12000</v>
      </c>
      <c r="F257" s="1">
        <v>3000</v>
      </c>
      <c r="J257" t="s">
        <v>4</v>
      </c>
      <c r="K257" s="3" t="s">
        <v>38</v>
      </c>
      <c r="L257" s="1">
        <v>4500</v>
      </c>
      <c r="M257" s="1">
        <v>13608</v>
      </c>
      <c r="N257" s="1">
        <v>3044</v>
      </c>
      <c r="O257" t="s">
        <v>36</v>
      </c>
    </row>
    <row r="258" spans="1:15" x14ac:dyDescent="0.3">
      <c r="A258" t="s">
        <v>194</v>
      </c>
      <c r="B258" s="2" t="s">
        <v>7</v>
      </c>
      <c r="C258" t="s">
        <v>33</v>
      </c>
      <c r="D258" s="1">
        <v>4000</v>
      </c>
      <c r="E258" s="1">
        <v>12000</v>
      </c>
      <c r="F258" s="1">
        <v>3000</v>
      </c>
      <c r="J258" t="s">
        <v>4</v>
      </c>
      <c r="K258" s="3" t="s">
        <v>37</v>
      </c>
      <c r="L258" s="1">
        <v>4800</v>
      </c>
      <c r="M258" s="1">
        <v>11326</v>
      </c>
      <c r="N258" s="1">
        <v>2420</v>
      </c>
      <c r="O258" t="s">
        <v>30</v>
      </c>
    </row>
    <row r="259" spans="1:15" x14ac:dyDescent="0.3">
      <c r="A259" t="s">
        <v>194</v>
      </c>
      <c r="B259" s="2" t="s">
        <v>6</v>
      </c>
      <c r="C259" t="s">
        <v>33</v>
      </c>
      <c r="D259" s="1">
        <v>4000</v>
      </c>
      <c r="E259" s="1">
        <v>10000</v>
      </c>
      <c r="F259" s="1">
        <v>2500</v>
      </c>
      <c r="J259" t="s">
        <v>4</v>
      </c>
      <c r="K259" s="3" t="s">
        <v>31</v>
      </c>
      <c r="L259" s="1">
        <v>3000</v>
      </c>
      <c r="M259" s="1">
        <v>10348</v>
      </c>
      <c r="N259" s="1">
        <v>3514</v>
      </c>
      <c r="O259" t="s">
        <v>22</v>
      </c>
    </row>
    <row r="260" spans="1:15" x14ac:dyDescent="0.3">
      <c r="A260" t="s">
        <v>194</v>
      </c>
      <c r="B260" s="2" t="s">
        <v>5</v>
      </c>
      <c r="C260" t="s">
        <v>33</v>
      </c>
      <c r="D260" s="1">
        <v>4000</v>
      </c>
      <c r="E260" s="1">
        <v>6000</v>
      </c>
      <c r="F260" s="1">
        <v>1500</v>
      </c>
      <c r="J260" t="s">
        <v>4</v>
      </c>
      <c r="K260" s="3" t="s">
        <v>29</v>
      </c>
      <c r="L260" s="1">
        <v>2500</v>
      </c>
      <c r="M260" s="1">
        <v>8740</v>
      </c>
      <c r="N260" s="1">
        <v>3500</v>
      </c>
      <c r="O260" t="s">
        <v>28</v>
      </c>
    </row>
    <row r="261" spans="1:15" x14ac:dyDescent="0.3">
      <c r="A261" t="s">
        <v>194</v>
      </c>
      <c r="B261" s="2" t="s">
        <v>4</v>
      </c>
      <c r="C261" t="s">
        <v>33</v>
      </c>
      <c r="D261" s="1">
        <v>4000</v>
      </c>
      <c r="E261" s="1">
        <v>13979</v>
      </c>
      <c r="F261" s="1">
        <v>3500</v>
      </c>
      <c r="J261" t="s">
        <v>4</v>
      </c>
      <c r="K261" s="3" t="s">
        <v>25</v>
      </c>
      <c r="L261" s="1">
        <v>900</v>
      </c>
      <c r="M261" s="1">
        <v>2075</v>
      </c>
      <c r="N261" s="1">
        <v>2500</v>
      </c>
      <c r="O261" t="s">
        <v>23</v>
      </c>
    </row>
    <row r="262" spans="1:15" x14ac:dyDescent="0.3">
      <c r="A262" t="s">
        <v>194</v>
      </c>
      <c r="B262" s="2" t="s">
        <v>3</v>
      </c>
      <c r="C262" t="s">
        <v>33</v>
      </c>
      <c r="D262" s="1">
        <v>4400</v>
      </c>
      <c r="E262" s="1">
        <v>9256</v>
      </c>
      <c r="F262" s="1">
        <v>2163</v>
      </c>
      <c r="J262" t="s">
        <v>4</v>
      </c>
      <c r="K262" s="3" t="s">
        <v>27</v>
      </c>
      <c r="L262" s="1">
        <v>500</v>
      </c>
      <c r="M262" s="1">
        <v>1520</v>
      </c>
      <c r="N262" s="1">
        <v>3040</v>
      </c>
      <c r="O262" t="s">
        <v>24</v>
      </c>
    </row>
    <row r="263" spans="1:15" x14ac:dyDescent="0.3">
      <c r="A263" t="s">
        <v>194</v>
      </c>
      <c r="B263" s="2" t="s">
        <v>20</v>
      </c>
      <c r="C263" t="s">
        <v>192</v>
      </c>
      <c r="D263" s="1">
        <v>970350</v>
      </c>
      <c r="E263" s="1">
        <v>2737945</v>
      </c>
      <c r="F263" s="1">
        <v>2822</v>
      </c>
      <c r="L263" s="1">
        <f>SUM(L237:L262)</f>
        <v>1123180</v>
      </c>
      <c r="M263" s="1">
        <f>SUM(M237:M262)</f>
        <v>3030974</v>
      </c>
    </row>
    <row r="264" spans="1:15" x14ac:dyDescent="0.3">
      <c r="A264" t="s">
        <v>194</v>
      </c>
      <c r="B264" s="2" t="s">
        <v>18</v>
      </c>
      <c r="C264" t="s">
        <v>192</v>
      </c>
      <c r="D264" s="1">
        <v>869000</v>
      </c>
      <c r="E264" s="1">
        <v>1915310</v>
      </c>
      <c r="F264" s="1">
        <v>2460</v>
      </c>
      <c r="J264" s="53" t="s">
        <v>4</v>
      </c>
      <c r="K264" s="11" t="s">
        <v>192</v>
      </c>
      <c r="L264" s="9">
        <v>1123180</v>
      </c>
      <c r="M264" s="9">
        <v>3030971</v>
      </c>
      <c r="N264" s="9">
        <v>2742</v>
      </c>
    </row>
    <row r="265" spans="1:15" x14ac:dyDescent="0.3">
      <c r="A265" t="s">
        <v>194</v>
      </c>
      <c r="B265" s="2" t="s">
        <v>17</v>
      </c>
      <c r="C265" t="s">
        <v>192</v>
      </c>
      <c r="D265" s="1">
        <v>980572</v>
      </c>
      <c r="E265" s="1">
        <v>2498134</v>
      </c>
      <c r="F265" s="1">
        <v>2653</v>
      </c>
      <c r="J265" s="11" t="s">
        <v>128</v>
      </c>
      <c r="K265" s="11" t="s">
        <v>82</v>
      </c>
      <c r="L265" s="9" t="s">
        <v>135</v>
      </c>
      <c r="M265" s="9" t="s">
        <v>130</v>
      </c>
      <c r="N265" s="9" t="s">
        <v>129</v>
      </c>
    </row>
    <row r="266" spans="1:15" x14ac:dyDescent="0.3">
      <c r="A266" t="s">
        <v>194</v>
      </c>
      <c r="B266" s="2" t="s">
        <v>14</v>
      </c>
      <c r="C266" t="s">
        <v>192</v>
      </c>
      <c r="D266" s="1">
        <v>871840</v>
      </c>
      <c r="E266" s="1">
        <v>3159862</v>
      </c>
      <c r="F266" s="1">
        <v>3650</v>
      </c>
      <c r="J266" t="s">
        <v>3</v>
      </c>
      <c r="K266" s="3" t="s">
        <v>75</v>
      </c>
      <c r="L266" s="1">
        <v>261150</v>
      </c>
      <c r="M266" s="1">
        <v>822003</v>
      </c>
      <c r="N266" s="1">
        <v>3273</v>
      </c>
      <c r="O266" t="s">
        <v>71</v>
      </c>
    </row>
    <row r="267" spans="1:15" x14ac:dyDescent="0.3">
      <c r="A267" t="s">
        <v>194</v>
      </c>
      <c r="B267" s="2" t="s">
        <v>12</v>
      </c>
      <c r="C267" t="s">
        <v>192</v>
      </c>
      <c r="D267" s="1">
        <v>894290</v>
      </c>
      <c r="E267" s="1">
        <v>2353796</v>
      </c>
      <c r="F267" s="1">
        <v>2653</v>
      </c>
      <c r="J267" t="s">
        <v>3</v>
      </c>
      <c r="K267" s="3" t="s">
        <v>74</v>
      </c>
      <c r="L267" s="1">
        <v>158000</v>
      </c>
      <c r="M267" s="1">
        <v>493145</v>
      </c>
      <c r="N267" s="1">
        <v>3283</v>
      </c>
      <c r="O267" t="s">
        <v>73</v>
      </c>
    </row>
    <row r="268" spans="1:15" x14ac:dyDescent="0.3">
      <c r="A268" t="s">
        <v>194</v>
      </c>
      <c r="B268" s="2" t="s">
        <v>9</v>
      </c>
      <c r="C268" t="s">
        <v>192</v>
      </c>
      <c r="D268" s="1">
        <v>1028772</v>
      </c>
      <c r="E268" s="1">
        <v>3142543</v>
      </c>
      <c r="F268" s="1">
        <v>3208</v>
      </c>
      <c r="J268" t="s">
        <v>3</v>
      </c>
      <c r="K268" s="3" t="s">
        <v>72</v>
      </c>
      <c r="L268" s="1">
        <v>355400</v>
      </c>
      <c r="M268" s="1">
        <v>310223</v>
      </c>
      <c r="N268" s="1">
        <v>1134</v>
      </c>
      <c r="O268" t="s">
        <v>59</v>
      </c>
    </row>
    <row r="269" spans="1:15" x14ac:dyDescent="0.3">
      <c r="A269" t="s">
        <v>194</v>
      </c>
      <c r="B269" s="2" t="s">
        <v>8</v>
      </c>
      <c r="C269" t="s">
        <v>192</v>
      </c>
      <c r="D269" s="1">
        <v>1057280</v>
      </c>
      <c r="E269" s="1">
        <v>3377967</v>
      </c>
      <c r="F269" s="1">
        <v>3212</v>
      </c>
      <c r="J269" t="s">
        <v>3</v>
      </c>
      <c r="K269" s="3" t="s">
        <v>70</v>
      </c>
      <c r="L269" s="1">
        <v>93500</v>
      </c>
      <c r="M269" s="1">
        <v>261510</v>
      </c>
      <c r="N269" s="1">
        <v>2806</v>
      </c>
      <c r="O269" t="s">
        <v>60</v>
      </c>
    </row>
    <row r="270" spans="1:15" x14ac:dyDescent="0.3">
      <c r="A270" t="s">
        <v>194</v>
      </c>
      <c r="B270" s="2" t="s">
        <v>7</v>
      </c>
      <c r="C270" t="s">
        <v>192</v>
      </c>
      <c r="D270" s="1">
        <v>1078150</v>
      </c>
      <c r="E270" s="1">
        <v>3603230</v>
      </c>
      <c r="F270" s="1">
        <v>3342</v>
      </c>
      <c r="J270" t="s">
        <v>3</v>
      </c>
      <c r="K270" s="3" t="s">
        <v>69</v>
      </c>
      <c r="L270" s="1">
        <v>95500</v>
      </c>
      <c r="M270" s="1">
        <v>206100</v>
      </c>
      <c r="N270" s="1">
        <v>2314</v>
      </c>
      <c r="O270" t="s">
        <v>66</v>
      </c>
    </row>
    <row r="271" spans="1:15" x14ac:dyDescent="0.3">
      <c r="A271" t="s">
        <v>194</v>
      </c>
      <c r="B271" s="2" t="s">
        <v>6</v>
      </c>
      <c r="C271" t="s">
        <v>192</v>
      </c>
      <c r="D271" s="1">
        <v>1078120</v>
      </c>
      <c r="E271" s="1">
        <v>3340985</v>
      </c>
      <c r="F271" s="1">
        <v>3099</v>
      </c>
      <c r="J271" t="s">
        <v>3</v>
      </c>
      <c r="K271" s="3" t="s">
        <v>68</v>
      </c>
      <c r="L271" s="1">
        <v>67650</v>
      </c>
      <c r="M271" s="1">
        <v>188308</v>
      </c>
      <c r="N271" s="1">
        <v>2796</v>
      </c>
      <c r="O271" t="s">
        <v>67</v>
      </c>
    </row>
    <row r="272" spans="1:15" x14ac:dyDescent="0.3">
      <c r="A272" t="s">
        <v>194</v>
      </c>
      <c r="B272" s="2" t="s">
        <v>5</v>
      </c>
      <c r="C272" t="s">
        <v>192</v>
      </c>
      <c r="D272" s="1">
        <v>1129500</v>
      </c>
      <c r="E272" s="1">
        <v>2823432</v>
      </c>
      <c r="F272" s="1">
        <v>2500</v>
      </c>
      <c r="J272" t="s">
        <v>3</v>
      </c>
      <c r="K272" s="3" t="s">
        <v>65</v>
      </c>
      <c r="L272" s="1">
        <v>61600</v>
      </c>
      <c r="M272" s="1">
        <v>161035</v>
      </c>
      <c r="N272" s="1">
        <v>2623</v>
      </c>
      <c r="O272" t="s">
        <v>61</v>
      </c>
    </row>
    <row r="273" spans="1:15" x14ac:dyDescent="0.3">
      <c r="A273" t="s">
        <v>194</v>
      </c>
      <c r="B273" s="2" t="s">
        <v>4</v>
      </c>
      <c r="C273" t="s">
        <v>192</v>
      </c>
      <c r="D273" s="1">
        <v>1123180</v>
      </c>
      <c r="E273" s="1">
        <v>3030971</v>
      </c>
      <c r="F273" s="1">
        <v>2742</v>
      </c>
      <c r="J273" t="s">
        <v>3</v>
      </c>
      <c r="K273" s="3" t="s">
        <v>64</v>
      </c>
      <c r="L273" s="1">
        <v>38300</v>
      </c>
      <c r="M273" s="1">
        <v>87062</v>
      </c>
      <c r="N273" s="1">
        <v>2368</v>
      </c>
      <c r="O273" t="s">
        <v>63</v>
      </c>
    </row>
    <row r="274" spans="1:15" x14ac:dyDescent="0.3">
      <c r="A274" t="s">
        <v>194</v>
      </c>
      <c r="B274" s="2" t="s">
        <v>3</v>
      </c>
      <c r="C274" t="s">
        <v>192</v>
      </c>
      <c r="D274" s="1">
        <v>1415045</v>
      </c>
      <c r="E274" s="1">
        <v>2895233</v>
      </c>
      <c r="F274" s="1">
        <v>2307</v>
      </c>
      <c r="J274" t="s">
        <v>3</v>
      </c>
      <c r="K274" s="3" t="s">
        <v>62</v>
      </c>
      <c r="L274" s="1">
        <v>143930</v>
      </c>
      <c r="M274" s="1">
        <v>72538</v>
      </c>
      <c r="N274" s="1">
        <v>700</v>
      </c>
      <c r="O274" t="s">
        <v>57</v>
      </c>
    </row>
    <row r="275" spans="1:15" x14ac:dyDescent="0.3">
      <c r="J275" t="s">
        <v>3</v>
      </c>
      <c r="K275" s="3" t="s">
        <v>58</v>
      </c>
      <c r="L275" s="1">
        <v>26150</v>
      </c>
      <c r="M275" s="1">
        <v>63088</v>
      </c>
      <c r="N275" s="1">
        <v>2652</v>
      </c>
      <c r="O275" t="s">
        <v>50</v>
      </c>
    </row>
    <row r="276" spans="1:15" x14ac:dyDescent="0.3">
      <c r="J276" t="s">
        <v>3</v>
      </c>
      <c r="K276" s="3" t="s">
        <v>56</v>
      </c>
      <c r="L276" s="1">
        <v>14300</v>
      </c>
      <c r="M276" s="1">
        <v>35150</v>
      </c>
      <c r="N276" s="1">
        <v>2500</v>
      </c>
      <c r="O276" t="s">
        <v>49</v>
      </c>
    </row>
    <row r="277" spans="1:15" x14ac:dyDescent="0.3">
      <c r="J277" t="s">
        <v>3</v>
      </c>
      <c r="K277" s="3" t="s">
        <v>54</v>
      </c>
      <c r="L277" s="1">
        <v>8800</v>
      </c>
      <c r="M277" s="1">
        <v>23313</v>
      </c>
      <c r="N277" s="1">
        <v>2700</v>
      </c>
      <c r="O277" t="s">
        <v>53</v>
      </c>
    </row>
    <row r="278" spans="1:15" x14ac:dyDescent="0.3">
      <c r="J278" t="s">
        <v>3</v>
      </c>
      <c r="K278" s="3" t="s">
        <v>52</v>
      </c>
      <c r="L278" s="1">
        <v>8800</v>
      </c>
      <c r="M278" s="1">
        <v>22145</v>
      </c>
      <c r="N278" s="1">
        <v>2575</v>
      </c>
      <c r="O278" t="s">
        <v>35</v>
      </c>
    </row>
    <row r="279" spans="1:15" x14ac:dyDescent="0.3">
      <c r="J279" t="s">
        <v>3</v>
      </c>
      <c r="K279" s="3" t="s">
        <v>51</v>
      </c>
      <c r="L279" s="1">
        <v>26650</v>
      </c>
      <c r="M279" s="1">
        <v>22052</v>
      </c>
      <c r="N279" s="1">
        <v>1095</v>
      </c>
      <c r="O279" t="s">
        <v>47</v>
      </c>
    </row>
    <row r="280" spans="1:15" x14ac:dyDescent="0.3">
      <c r="J280" t="s">
        <v>3</v>
      </c>
      <c r="K280" s="3" t="s">
        <v>48</v>
      </c>
      <c r="L280" s="1">
        <v>8100</v>
      </c>
      <c r="M280" s="1">
        <v>18561</v>
      </c>
      <c r="N280" s="1">
        <v>2329</v>
      </c>
      <c r="O280" t="s">
        <v>45</v>
      </c>
    </row>
    <row r="281" spans="1:15" x14ac:dyDescent="0.3">
      <c r="J281" t="s">
        <v>3</v>
      </c>
      <c r="K281" s="3" t="s">
        <v>46</v>
      </c>
      <c r="L281" s="1">
        <v>7150</v>
      </c>
      <c r="M281" s="1">
        <v>17625</v>
      </c>
      <c r="N281" s="1">
        <v>2500</v>
      </c>
      <c r="O281" t="s">
        <v>43</v>
      </c>
    </row>
    <row r="282" spans="1:15" x14ac:dyDescent="0.3">
      <c r="J282" t="s">
        <v>3</v>
      </c>
      <c r="K282" s="3" t="s">
        <v>44</v>
      </c>
      <c r="L282" s="1">
        <v>5800</v>
      </c>
      <c r="M282" s="1">
        <v>15187</v>
      </c>
      <c r="N282" s="1">
        <v>2657</v>
      </c>
      <c r="O282" t="s">
        <v>39</v>
      </c>
    </row>
    <row r="283" spans="1:15" x14ac:dyDescent="0.3">
      <c r="J283" t="s">
        <v>3</v>
      </c>
      <c r="K283" s="3" t="s">
        <v>42</v>
      </c>
      <c r="L283" s="1">
        <v>5500</v>
      </c>
      <c r="M283" s="1">
        <v>15154</v>
      </c>
      <c r="N283" s="1">
        <v>2840</v>
      </c>
      <c r="O283" t="s">
        <v>40</v>
      </c>
    </row>
    <row r="284" spans="1:15" x14ac:dyDescent="0.3">
      <c r="J284" t="s">
        <v>3</v>
      </c>
      <c r="K284" s="3" t="s">
        <v>41</v>
      </c>
      <c r="L284" s="1">
        <v>5800</v>
      </c>
      <c r="M284" s="1">
        <v>13244</v>
      </c>
      <c r="N284" s="1">
        <v>2340</v>
      </c>
      <c r="O284" t="s">
        <v>34</v>
      </c>
    </row>
    <row r="285" spans="1:15" x14ac:dyDescent="0.3">
      <c r="J285" t="s">
        <v>3</v>
      </c>
      <c r="K285" s="3" t="s">
        <v>38</v>
      </c>
      <c r="L285" s="1">
        <v>4950</v>
      </c>
      <c r="M285" s="1">
        <v>11040</v>
      </c>
      <c r="N285" s="1">
        <v>2300</v>
      </c>
      <c r="O285" t="s">
        <v>32</v>
      </c>
    </row>
    <row r="286" spans="1:15" x14ac:dyDescent="0.3">
      <c r="J286" t="s">
        <v>3</v>
      </c>
      <c r="K286" s="3" t="s">
        <v>37</v>
      </c>
      <c r="L286" s="1">
        <v>5850</v>
      </c>
      <c r="M286" s="1">
        <v>10152</v>
      </c>
      <c r="N286" s="1">
        <v>1800</v>
      </c>
      <c r="O286" t="s">
        <v>36</v>
      </c>
    </row>
    <row r="287" spans="1:15" x14ac:dyDescent="0.3">
      <c r="J287" t="s">
        <v>3</v>
      </c>
      <c r="K287" s="3" t="s">
        <v>33</v>
      </c>
      <c r="L287" s="1">
        <v>4400</v>
      </c>
      <c r="M287" s="1">
        <v>9256</v>
      </c>
      <c r="N287" s="1">
        <v>2163</v>
      </c>
      <c r="O287" t="s">
        <v>30</v>
      </c>
    </row>
    <row r="288" spans="1:15" x14ac:dyDescent="0.3">
      <c r="J288" t="s">
        <v>3</v>
      </c>
      <c r="K288" s="3" t="s">
        <v>31</v>
      </c>
      <c r="L288" s="1">
        <v>3400</v>
      </c>
      <c r="M288" s="1">
        <v>8867</v>
      </c>
      <c r="N288" s="1">
        <v>2695</v>
      </c>
      <c r="O288" t="s">
        <v>22</v>
      </c>
    </row>
    <row r="289" spans="10:16" x14ac:dyDescent="0.3">
      <c r="J289" t="s">
        <v>3</v>
      </c>
      <c r="K289" s="3" t="s">
        <v>29</v>
      </c>
      <c r="L289" s="1">
        <v>2750</v>
      </c>
      <c r="M289" s="1">
        <v>6745</v>
      </c>
      <c r="N289" s="1">
        <v>2500</v>
      </c>
      <c r="O289" t="s">
        <v>28</v>
      </c>
    </row>
    <row r="290" spans="10:16" x14ac:dyDescent="0.3">
      <c r="J290" t="s">
        <v>3</v>
      </c>
      <c r="K290" s="3" t="s">
        <v>27</v>
      </c>
      <c r="L290" s="1">
        <v>575</v>
      </c>
      <c r="M290" s="1">
        <v>1188</v>
      </c>
      <c r="N290" s="1">
        <v>2200</v>
      </c>
      <c r="O290" t="s">
        <v>23</v>
      </c>
    </row>
    <row r="291" spans="10:16" x14ac:dyDescent="0.3">
      <c r="J291" t="s">
        <v>3</v>
      </c>
      <c r="K291" s="3" t="s">
        <v>25</v>
      </c>
      <c r="L291" s="1">
        <v>1040</v>
      </c>
      <c r="M291" s="1">
        <v>544</v>
      </c>
      <c r="N291" s="1">
        <v>1700</v>
      </c>
      <c r="O291" t="s">
        <v>24</v>
      </c>
    </row>
    <row r="292" spans="10:16" x14ac:dyDescent="0.3">
      <c r="L292" s="1">
        <f>SUM(L266:L291)</f>
        <v>1415045</v>
      </c>
      <c r="M292" s="1">
        <f>SUM(M266:M291)</f>
        <v>2895235</v>
      </c>
    </row>
    <row r="293" spans="10:16" x14ac:dyDescent="0.3">
      <c r="J293" s="53" t="s">
        <v>3</v>
      </c>
      <c r="K293" s="11" t="s">
        <v>192</v>
      </c>
      <c r="L293" s="9">
        <v>1415045</v>
      </c>
      <c r="M293" s="9">
        <v>2895233</v>
      </c>
      <c r="N293" s="9">
        <v>2307</v>
      </c>
    </row>
    <row r="297" spans="10:16" x14ac:dyDescent="0.3">
      <c r="J297" s="4" t="s">
        <v>264</v>
      </c>
    </row>
    <row r="298" spans="10:16" x14ac:dyDescent="0.3">
      <c r="L298" t="s">
        <v>5</v>
      </c>
      <c r="M298" t="s">
        <v>4</v>
      </c>
      <c r="N298" t="s">
        <v>3</v>
      </c>
      <c r="O298" t="s">
        <v>85</v>
      </c>
      <c r="P298" t="s">
        <v>84</v>
      </c>
    </row>
    <row r="299" spans="10:16" x14ac:dyDescent="0.3">
      <c r="K299" s="3" t="s">
        <v>74</v>
      </c>
      <c r="L299" s="1">
        <v>2743</v>
      </c>
      <c r="M299" s="1">
        <v>2886</v>
      </c>
      <c r="N299" s="1">
        <v>3283</v>
      </c>
      <c r="O299" s="9">
        <v>2970.6666666666665</v>
      </c>
      <c r="P299" t="s">
        <v>71</v>
      </c>
    </row>
    <row r="300" spans="10:16" x14ac:dyDescent="0.3">
      <c r="K300" s="3" t="s">
        <v>75</v>
      </c>
      <c r="L300" s="1">
        <v>2601</v>
      </c>
      <c r="M300" s="1">
        <v>2860</v>
      </c>
      <c r="N300" s="1">
        <v>3273</v>
      </c>
      <c r="O300" s="9">
        <v>2911.3333333333335</v>
      </c>
      <c r="P300" t="s">
        <v>73</v>
      </c>
    </row>
    <row r="301" spans="10:16" x14ac:dyDescent="0.3">
      <c r="K301" s="3" t="s">
        <v>68</v>
      </c>
      <c r="L301" s="1">
        <v>1629</v>
      </c>
      <c r="M301" s="1">
        <v>3900</v>
      </c>
      <c r="N301" s="1">
        <v>2796</v>
      </c>
      <c r="O301" s="9">
        <v>2775</v>
      </c>
      <c r="P301" t="s">
        <v>59</v>
      </c>
    </row>
    <row r="302" spans="10:16" x14ac:dyDescent="0.3">
      <c r="K302" s="3" t="s">
        <v>70</v>
      </c>
      <c r="L302" s="1">
        <v>1735</v>
      </c>
      <c r="M302" s="1">
        <v>3489</v>
      </c>
      <c r="N302" s="1">
        <v>2806</v>
      </c>
      <c r="O302" s="9">
        <v>2676.6666666666665</v>
      </c>
      <c r="P302" t="s">
        <v>60</v>
      </c>
    </row>
    <row r="303" spans="10:16" x14ac:dyDescent="0.3">
      <c r="K303" s="3" t="s">
        <v>69</v>
      </c>
      <c r="L303" s="1">
        <v>2764</v>
      </c>
      <c r="M303" s="1">
        <v>2879</v>
      </c>
      <c r="N303" s="1">
        <v>2314</v>
      </c>
      <c r="O303" s="9">
        <v>2652.3333333333335</v>
      </c>
      <c r="P303" t="s">
        <v>66</v>
      </c>
    </row>
    <row r="304" spans="10:16" x14ac:dyDescent="0.3">
      <c r="K304" s="3" t="s">
        <v>58</v>
      </c>
      <c r="L304" s="1">
        <v>2660</v>
      </c>
      <c r="M304" s="1">
        <v>2581</v>
      </c>
      <c r="N304" s="1">
        <v>2652</v>
      </c>
      <c r="O304" s="9">
        <v>2631</v>
      </c>
      <c r="P304" t="s">
        <v>67</v>
      </c>
    </row>
    <row r="305" spans="11:16" x14ac:dyDescent="0.3">
      <c r="K305" s="3" t="s">
        <v>42</v>
      </c>
      <c r="L305" s="1">
        <v>1500</v>
      </c>
      <c r="M305" s="1">
        <v>3492</v>
      </c>
      <c r="N305" s="1">
        <v>2840</v>
      </c>
      <c r="O305" s="9">
        <v>2610.6666666666665</v>
      </c>
      <c r="P305" t="s">
        <v>61</v>
      </c>
    </row>
    <row r="306" spans="11:16" x14ac:dyDescent="0.3">
      <c r="K306" s="3" t="s">
        <v>56</v>
      </c>
      <c r="L306" s="1">
        <v>1500</v>
      </c>
      <c r="M306" s="1">
        <v>3786</v>
      </c>
      <c r="N306" s="1">
        <v>2500</v>
      </c>
      <c r="O306" s="9">
        <v>2595.3333333333335</v>
      </c>
      <c r="P306" t="s">
        <v>63</v>
      </c>
    </row>
    <row r="307" spans="11:16" x14ac:dyDescent="0.3">
      <c r="K307" s="3" t="s">
        <v>31</v>
      </c>
      <c r="L307" s="1">
        <v>1500</v>
      </c>
      <c r="M307" s="1">
        <v>3514</v>
      </c>
      <c r="N307" s="1">
        <v>2695</v>
      </c>
      <c r="O307" s="9">
        <v>2569.6666666666665</v>
      </c>
      <c r="P307" t="s">
        <v>57</v>
      </c>
    </row>
    <row r="308" spans="11:16" x14ac:dyDescent="0.3">
      <c r="K308" s="3" t="s">
        <v>65</v>
      </c>
      <c r="L308" s="1">
        <v>1500</v>
      </c>
      <c r="M308" s="1">
        <v>3472</v>
      </c>
      <c r="N308" s="1">
        <v>2623</v>
      </c>
      <c r="O308" s="9">
        <v>2531.6666666666665</v>
      </c>
      <c r="P308" t="s">
        <v>50</v>
      </c>
    </row>
    <row r="309" spans="11:16" x14ac:dyDescent="0.3">
      <c r="K309" s="3" t="s">
        <v>52</v>
      </c>
      <c r="L309" s="1">
        <v>1500</v>
      </c>
      <c r="M309" s="1">
        <v>3470</v>
      </c>
      <c r="N309" s="1">
        <v>2575</v>
      </c>
      <c r="O309" s="9">
        <v>2515</v>
      </c>
      <c r="P309" t="s">
        <v>49</v>
      </c>
    </row>
    <row r="310" spans="11:16" x14ac:dyDescent="0.3">
      <c r="K310" s="3" t="s">
        <v>54</v>
      </c>
      <c r="L310" s="1">
        <v>1500</v>
      </c>
      <c r="M310" s="1">
        <v>3300</v>
      </c>
      <c r="N310" s="1">
        <v>2700</v>
      </c>
      <c r="O310" s="9">
        <v>2500</v>
      </c>
      <c r="P310" t="s">
        <v>53</v>
      </c>
    </row>
    <row r="311" spans="11:16" x14ac:dyDescent="0.3">
      <c r="K311" s="3" t="s">
        <v>46</v>
      </c>
      <c r="L311" s="1">
        <v>1500</v>
      </c>
      <c r="M311" s="1">
        <v>3500</v>
      </c>
      <c r="N311" s="1">
        <v>2500</v>
      </c>
      <c r="O311" s="9">
        <v>2500</v>
      </c>
      <c r="P311" t="s">
        <v>35</v>
      </c>
    </row>
    <row r="312" spans="11:16" x14ac:dyDescent="0.3">
      <c r="K312" s="3" t="s">
        <v>29</v>
      </c>
      <c r="L312" s="1">
        <v>1500</v>
      </c>
      <c r="M312" s="1">
        <v>3500</v>
      </c>
      <c r="N312" s="1">
        <v>2500</v>
      </c>
      <c r="O312" s="9">
        <v>2500</v>
      </c>
      <c r="P312" t="s">
        <v>47</v>
      </c>
    </row>
    <row r="313" spans="11:16" x14ac:dyDescent="0.3">
      <c r="K313" s="3" t="s">
        <v>44</v>
      </c>
      <c r="L313" s="1">
        <v>1500</v>
      </c>
      <c r="M313" s="1">
        <v>3010</v>
      </c>
      <c r="N313" s="1">
        <v>2657</v>
      </c>
      <c r="O313" s="9">
        <v>2389</v>
      </c>
      <c r="P313" t="s">
        <v>45</v>
      </c>
    </row>
    <row r="314" spans="11:16" x14ac:dyDescent="0.3">
      <c r="K314" s="3" t="s">
        <v>33</v>
      </c>
      <c r="L314" s="1">
        <v>1500</v>
      </c>
      <c r="M314" s="1">
        <v>3500</v>
      </c>
      <c r="N314" s="1">
        <v>2163</v>
      </c>
      <c r="O314" s="9">
        <v>2387.6666666666665</v>
      </c>
      <c r="P314" t="s">
        <v>43</v>
      </c>
    </row>
    <row r="315" spans="11:16" x14ac:dyDescent="0.3">
      <c r="K315" s="3" t="s">
        <v>64</v>
      </c>
      <c r="L315" s="1">
        <v>2423</v>
      </c>
      <c r="M315" s="1">
        <v>2351</v>
      </c>
      <c r="N315" s="1">
        <v>2368</v>
      </c>
      <c r="O315" s="9">
        <v>2380.6666666666665</v>
      </c>
      <c r="P315" t="s">
        <v>39</v>
      </c>
    </row>
    <row r="316" spans="11:16" x14ac:dyDescent="0.3">
      <c r="K316" s="3" t="s">
        <v>25</v>
      </c>
      <c r="L316" s="1">
        <v>2700</v>
      </c>
      <c r="M316" s="1">
        <v>2500</v>
      </c>
      <c r="N316" s="1">
        <v>1700</v>
      </c>
      <c r="O316" s="9">
        <v>2300</v>
      </c>
      <c r="P316" t="s">
        <v>40</v>
      </c>
    </row>
    <row r="317" spans="11:16" x14ac:dyDescent="0.3">
      <c r="K317" s="3" t="s">
        <v>48</v>
      </c>
      <c r="L317" s="1">
        <v>1500</v>
      </c>
      <c r="M317" s="1">
        <v>3066</v>
      </c>
      <c r="N317" s="1">
        <v>2329</v>
      </c>
      <c r="O317" s="9">
        <v>2298.3333333333335</v>
      </c>
      <c r="P317" t="s">
        <v>34</v>
      </c>
    </row>
    <row r="318" spans="11:16" x14ac:dyDescent="0.3">
      <c r="K318" s="3" t="s">
        <v>41</v>
      </c>
      <c r="L318" s="1">
        <v>1500</v>
      </c>
      <c r="M318" s="1">
        <v>3038</v>
      </c>
      <c r="N318" s="1">
        <v>2340</v>
      </c>
      <c r="O318" s="9">
        <v>2292.6666666666665</v>
      </c>
      <c r="P318" t="s">
        <v>32</v>
      </c>
    </row>
    <row r="319" spans="11:16" x14ac:dyDescent="0.3">
      <c r="K319" s="3" t="s">
        <v>38</v>
      </c>
      <c r="L319" s="1">
        <v>1500</v>
      </c>
      <c r="M319" s="1">
        <v>3044</v>
      </c>
      <c r="N319" s="1">
        <v>2300</v>
      </c>
      <c r="O319" s="9">
        <v>2281.3333333333335</v>
      </c>
      <c r="P319" t="s">
        <v>36</v>
      </c>
    </row>
    <row r="320" spans="11:16" x14ac:dyDescent="0.3">
      <c r="K320" s="3" t="s">
        <v>37</v>
      </c>
      <c r="L320" s="1">
        <v>2570</v>
      </c>
      <c r="M320" s="1">
        <v>2420</v>
      </c>
      <c r="N320" s="1">
        <v>1800</v>
      </c>
      <c r="O320" s="9">
        <v>2263.3333333333335</v>
      </c>
      <c r="P320" t="s">
        <v>30</v>
      </c>
    </row>
    <row r="321" spans="11:18" x14ac:dyDescent="0.3">
      <c r="K321" s="3" t="s">
        <v>27</v>
      </c>
      <c r="L321" s="1">
        <v>1500</v>
      </c>
      <c r="M321" s="1">
        <v>3040</v>
      </c>
      <c r="N321" s="1">
        <v>2200</v>
      </c>
      <c r="O321" s="9">
        <v>2246.6666666666665</v>
      </c>
      <c r="P321" t="s">
        <v>22</v>
      </c>
    </row>
    <row r="322" spans="11:18" x14ac:dyDescent="0.3">
      <c r="K322" s="3" t="s">
        <v>72</v>
      </c>
      <c r="L322" s="1">
        <v>2857</v>
      </c>
      <c r="M322" s="1">
        <v>2318</v>
      </c>
      <c r="N322" s="1">
        <v>1134</v>
      </c>
      <c r="O322" s="9">
        <v>2103</v>
      </c>
      <c r="P322" t="s">
        <v>28</v>
      </c>
    </row>
    <row r="323" spans="11:18" x14ac:dyDescent="0.3">
      <c r="K323" s="3" t="s">
        <v>51</v>
      </c>
      <c r="L323" s="1">
        <v>2564</v>
      </c>
      <c r="M323" s="1">
        <v>2286</v>
      </c>
      <c r="N323" s="1">
        <v>1095</v>
      </c>
      <c r="O323" s="9">
        <v>1981.6666666666667</v>
      </c>
      <c r="P323" t="s">
        <v>23</v>
      </c>
    </row>
    <row r="324" spans="11:18" x14ac:dyDescent="0.3">
      <c r="K324" s="3" t="s">
        <v>62</v>
      </c>
      <c r="L324" s="1">
        <v>2728</v>
      </c>
      <c r="M324" s="1">
        <v>1767</v>
      </c>
      <c r="N324" s="1">
        <v>700</v>
      </c>
      <c r="O324" s="9">
        <v>1731.6666666666667</v>
      </c>
      <c r="P324" t="s">
        <v>24</v>
      </c>
      <c r="R324" t="s">
        <v>263</v>
      </c>
    </row>
  </sheetData>
  <autoFilter ref="A1:I27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5" sqref="M1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Modelo  Analisis</vt:lpstr>
      <vt:lpstr>9 PB 3 - A</vt:lpstr>
      <vt:lpstr>9 PB 3 - B</vt:lpstr>
      <vt:lpstr>9 PB 3 - C</vt:lpstr>
      <vt:lpstr>Calculos Ranking</vt:lpstr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2026-07-16T19:47:38Z</dcterms:created>
  <dcterms:modified xsi:type="dcterms:W3CDTF">2026-07-16T19:50:27Z</dcterms:modified>
</cp:coreProperties>
</file>