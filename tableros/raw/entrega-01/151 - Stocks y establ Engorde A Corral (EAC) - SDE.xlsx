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álisis" sheetId="2" r:id="rId1"/>
    <sheet name="Data SDE" sheetId="1" r:id="rId2"/>
  </sheets>
  <definedNames>
    <definedName name="_xlnm._FilterDatabase" localSheetId="1" hidden="1">'Data SDE'!$A$2:$O$2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<sst xmlns="http://schemas.openxmlformats.org/spreadsheetml/2006/main" count="52" uniqueCount="38">
  <si>
    <t>PROVINCIA</t>
  </si>
  <si>
    <t>DEPARTAMENTO</t>
  </si>
  <si>
    <t>ESTABLECIMIENTOS</t>
  </si>
  <si>
    <t>RENSPAS</t>
  </si>
  <si>
    <t>TITULARES</t>
  </si>
  <si>
    <t>TERNEROS</t>
  </si>
  <si>
    <t>TERNERAS</t>
  </si>
  <si>
    <t>NOVILLITOS</t>
  </si>
  <si>
    <t>TORITOS</t>
  </si>
  <si>
    <t>NOVILLOS</t>
  </si>
  <si>
    <t>VAQUILLONAS</t>
  </si>
  <si>
    <t>VACAS</t>
  </si>
  <si>
    <t>TOROS</t>
  </si>
  <si>
    <t>BUEYES</t>
  </si>
  <si>
    <t xml:space="preserve">TOTAL </t>
  </si>
  <si>
    <t>SANTIAGO DEL ESTERO</t>
  </si>
  <si>
    <t>BELGRANO</t>
  </si>
  <si>
    <t>CHOYA</t>
  </si>
  <si>
    <t>FIGUEROA</t>
  </si>
  <si>
    <t>GENERAL TABOADA</t>
  </si>
  <si>
    <t>GUASAYAN</t>
  </si>
  <si>
    <t>JIMENEZ</t>
  </si>
  <si>
    <t>JUAN F. IBARRA</t>
  </si>
  <si>
    <t>LA BANDA</t>
  </si>
  <si>
    <t>LORETO</t>
  </si>
  <si>
    <t>MORENO</t>
  </si>
  <si>
    <t>OJO DE AGUA</t>
  </si>
  <si>
    <t>PELLEGRINI</t>
  </si>
  <si>
    <t>QUEBRACHOS</t>
  </si>
  <si>
    <t>RIVADAVIA</t>
  </si>
  <si>
    <t>ROBLES</t>
  </si>
  <si>
    <t>ESTABLECIMIENTOS Y STOCKS ENGORDE A CORRAL (EAC) SDE</t>
  </si>
  <si>
    <t>TOTALES</t>
  </si>
  <si>
    <t>%</t>
  </si>
  <si>
    <t>Tabla simple</t>
  </si>
  <si>
    <t>Volcado a mapas</t>
  </si>
  <si>
    <t>Torta porcentual de los 5 principales (marcados en negrita) y los demás como "resto"</t>
  </si>
  <si>
    <t>DATOS A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</si>
</sst>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9017B5"/>
      <name val="Calibri"/>
      <family val="2"/>
    </font>
    <font>
      <b/>
      <sz val="11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595959"/>
      <name val="Calibri"/>
      <family val="2"/>
    </font>
    <font>
      <b/>
      <sz val="11"/>
      <color rgb="FF9017B5"/>
      <name val="Calibri"/>
      <family val="2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CFC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wrapText="1"/>
    </xf>
    <xf numFmtId="3" fontId="1" fillId="2" borderId="1" xfId="0" applyNumberFormat="1" applyFont="1" applyFill="1" applyBorder="1" applyAlignment="1">
      <alignment horizontal="right" wrapText="1"/>
    </xf>
    <xf numFmtId="0" fontId="1" fillId="0" borderId="0" xfId="0" applyFont="1"/>
    <xf numFmtId="0" fontId="3" fillId="2" borderId="2" xfId="0" applyFont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vertical="top" wrapText="1"/>
    </xf>
    <xf numFmtId="3" fontId="2" fillId="0" borderId="2" xfId="0" applyNumberFormat="1" applyFont="1" applyFill="1" applyBorder="1" applyAlignment="1">
      <alignment vertical="top" wrapText="1"/>
    </xf>
    <xf numFmtId="0" fontId="0" fillId="0" borderId="0" xfId="0" applyFont="1"/>
    <xf numFmtId="3" fontId="4" fillId="0" borderId="0" xfId="0" applyNumberFormat="1" applyFont="1"/>
    <xf numFmtId="3" fontId="1" fillId="2" borderId="1" xfId="0" applyNumberFormat="1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right" vertical="top" wrapText="1"/>
    </xf>
    <xf numFmtId="0" fontId="6" fillId="0" borderId="0" xfId="0" applyFont="1" applyAlignment="1">
      <alignment horizontal="center"/>
    </xf>
    <xf numFmtId="10" fontId="0" fillId="0" borderId="0" xfId="0" applyNumberFormat="1" applyFont="1"/>
    <xf numFmtId="10" fontId="4" fillId="0" borderId="0" xfId="0" applyNumberFormat="1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F6"/>
  <sheetViews>
    <sheetView workbookViewId="0">
      <selection activeCell="I12" sqref="I12"/>
    </sheetView>
  </sheetViews>
  <sheetFormatPr baseColWidth="10" defaultRowHeight="14.4" x14ac:dyDescent="0.3"/>
  <sheetData>
    <row r="4" spans="6:6" ht="23.4" x14ac:dyDescent="0.45">
      <c r="F4" s="15" t="s">
        <v>34</v>
      </c>
    </row>
    <row r="5" spans="6:6" ht="23.4" x14ac:dyDescent="0.45">
      <c r="F5" s="15" t="s">
        <v>35</v>
      </c>
    </row>
    <row r="6" spans="6:6" ht="23.4" x14ac:dyDescent="0.45">
      <c r="F6" s="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pane ySplit="2" topLeftCell="A3" activePane="bottomLeft" state="frozen"/>
      <selection pane="bottomLeft" activeCell="I25" sqref="I25"/>
    </sheetView>
  </sheetViews>
  <sheetFormatPr baseColWidth="10" defaultColWidth="22.44140625" defaultRowHeight="14.4" x14ac:dyDescent="0.3"/>
  <cols>
    <col min="1" max="1" width="20" bestFit="1" customWidth="1"/>
    <col min="2" max="2" width="17.21875" bestFit="1" customWidth="1"/>
    <col min="3" max="3" width="17.5546875" bestFit="1" customWidth="1"/>
    <col min="4" max="4" width="8.33203125" bestFit="1" customWidth="1"/>
    <col min="5" max="5" width="11" customWidth="1"/>
    <col min="6" max="6" width="12.109375" customWidth="1"/>
    <col min="7" max="7" width="11.33203125" customWidth="1"/>
    <col min="8" max="8" width="12.44140625" customWidth="1"/>
    <col min="9" max="9" width="9.33203125" customWidth="1"/>
    <col min="10" max="10" width="12.21875" customWidth="1"/>
    <col min="11" max="11" width="15.109375" customWidth="1"/>
    <col min="12" max="12" width="8.5546875" customWidth="1"/>
    <col min="13" max="13" width="9.109375" customWidth="1"/>
    <col min="14" max="14" width="8.6640625" customWidth="1"/>
    <col min="15" max="15" width="9" customWidth="1"/>
    <col min="16" max="16" width="9.88671875" customWidth="1"/>
  </cols>
  <sheetData>
    <row r="1" spans="1:16" x14ac:dyDescent="0.3">
      <c r="F1" t="s">
        <v>31</v>
      </c>
    </row>
    <row r="2" spans="1:16" s="3" customFormat="1" x14ac:dyDescent="0.3">
      <c r="A2" s="1" t="s">
        <v>0</v>
      </c>
      <c r="B2" s="1" t="s">
        <v>1</v>
      </c>
      <c r="C2" s="2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10" t="s">
        <v>14</v>
      </c>
      <c r="P2" s="12" t="s">
        <v>33</v>
      </c>
    </row>
    <row r="3" spans="1:16" s="7" customFormat="1" x14ac:dyDescent="0.3">
      <c r="A3" s="4" t="s">
        <v>15</v>
      </c>
      <c r="B3" s="4" t="s">
        <v>16</v>
      </c>
      <c r="C3" s="5">
        <v>1</v>
      </c>
      <c r="D3" s="5">
        <v>1</v>
      </c>
      <c r="E3" s="5">
        <v>1</v>
      </c>
      <c r="F3" s="5">
        <v>261</v>
      </c>
      <c r="G3" s="5">
        <v>0</v>
      </c>
      <c r="H3" s="5">
        <v>1413</v>
      </c>
      <c r="I3" s="5">
        <v>0</v>
      </c>
      <c r="J3" s="5">
        <v>320</v>
      </c>
      <c r="K3" s="5">
        <v>176</v>
      </c>
      <c r="L3" s="5">
        <v>150</v>
      </c>
      <c r="M3" s="5">
        <v>0</v>
      </c>
      <c r="N3" s="5">
        <v>0</v>
      </c>
      <c r="O3" s="6">
        <v>2320</v>
      </c>
      <c r="P3" s="13">
        <f>O3/O$18</f>
        <v>2.3595459908059072E-2</v>
      </c>
    </row>
    <row r="4" spans="1:16" s="7" customFormat="1" x14ac:dyDescent="0.3">
      <c r="A4" s="4" t="s">
        <v>15</v>
      </c>
      <c r="B4" s="4" t="s">
        <v>17</v>
      </c>
      <c r="C4" s="5">
        <v>4</v>
      </c>
      <c r="D4" s="5">
        <v>7</v>
      </c>
      <c r="E4" s="5">
        <v>7</v>
      </c>
      <c r="F4" s="5">
        <v>1010</v>
      </c>
      <c r="G4" s="5">
        <v>613</v>
      </c>
      <c r="H4" s="5">
        <v>1934</v>
      </c>
      <c r="I4" s="5">
        <v>137</v>
      </c>
      <c r="J4" s="5">
        <v>293</v>
      </c>
      <c r="K4" s="5">
        <v>850</v>
      </c>
      <c r="L4" s="5">
        <v>922</v>
      </c>
      <c r="M4" s="5">
        <v>58</v>
      </c>
      <c r="N4" s="5">
        <v>0</v>
      </c>
      <c r="O4" s="6">
        <v>5817</v>
      </c>
      <c r="P4" s="14">
        <f t="shared" ref="P4:P17" si="0">O4/O$18</f>
        <v>5.9161547536715348E-2</v>
      </c>
    </row>
    <row r="5" spans="1:16" s="7" customFormat="1" x14ac:dyDescent="0.3">
      <c r="A5" s="4" t="s">
        <v>15</v>
      </c>
      <c r="B5" s="4" t="s">
        <v>18</v>
      </c>
      <c r="C5" s="5">
        <v>1</v>
      </c>
      <c r="D5" s="5">
        <v>1</v>
      </c>
      <c r="E5" s="5">
        <v>1</v>
      </c>
      <c r="F5" s="5">
        <v>165</v>
      </c>
      <c r="G5" s="5">
        <v>15</v>
      </c>
      <c r="H5" s="5">
        <v>77</v>
      </c>
      <c r="I5" s="5">
        <v>13</v>
      </c>
      <c r="J5" s="5">
        <v>30</v>
      </c>
      <c r="K5" s="5">
        <v>67</v>
      </c>
      <c r="L5" s="5">
        <v>86</v>
      </c>
      <c r="M5" s="5">
        <v>2</v>
      </c>
      <c r="N5" s="5">
        <v>0</v>
      </c>
      <c r="O5" s="6">
        <v>455</v>
      </c>
      <c r="P5" s="13">
        <f t="shared" si="0"/>
        <v>4.6275578698995162E-3</v>
      </c>
    </row>
    <row r="6" spans="1:16" s="7" customFormat="1" x14ac:dyDescent="0.3">
      <c r="A6" s="4" t="s">
        <v>15</v>
      </c>
      <c r="B6" s="4" t="s">
        <v>19</v>
      </c>
      <c r="C6" s="5">
        <v>1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1461</v>
      </c>
      <c r="K6" s="5">
        <v>7</v>
      </c>
      <c r="L6" s="5">
        <v>0</v>
      </c>
      <c r="M6" s="5">
        <v>0</v>
      </c>
      <c r="N6" s="5">
        <v>0</v>
      </c>
      <c r="O6" s="6">
        <v>1468</v>
      </c>
      <c r="P6" s="13">
        <f t="shared" si="0"/>
        <v>1.4930230665961514E-2</v>
      </c>
    </row>
    <row r="7" spans="1:16" s="7" customFormat="1" x14ac:dyDescent="0.3">
      <c r="A7" s="4" t="s">
        <v>15</v>
      </c>
      <c r="B7" s="4" t="s">
        <v>20</v>
      </c>
      <c r="C7" s="5">
        <v>2</v>
      </c>
      <c r="D7" s="5">
        <v>2</v>
      </c>
      <c r="E7" s="5">
        <v>2</v>
      </c>
      <c r="F7" s="5">
        <v>1323</v>
      </c>
      <c r="G7" s="5">
        <v>496</v>
      </c>
      <c r="H7" s="5">
        <v>2665</v>
      </c>
      <c r="I7" s="5">
        <v>5</v>
      </c>
      <c r="J7" s="5">
        <v>844</v>
      </c>
      <c r="K7" s="5">
        <v>223</v>
      </c>
      <c r="L7" s="5">
        <v>67</v>
      </c>
      <c r="M7" s="5">
        <v>2</v>
      </c>
      <c r="N7" s="5">
        <v>0</v>
      </c>
      <c r="O7" s="6">
        <v>5625</v>
      </c>
      <c r="P7" s="13">
        <f t="shared" si="0"/>
        <v>5.7208819820186323E-2</v>
      </c>
    </row>
    <row r="8" spans="1:16" s="7" customFormat="1" x14ac:dyDescent="0.3">
      <c r="A8" s="4" t="s">
        <v>15</v>
      </c>
      <c r="B8" s="4" t="s">
        <v>21</v>
      </c>
      <c r="C8" s="5">
        <v>7</v>
      </c>
      <c r="D8" s="5">
        <v>17</v>
      </c>
      <c r="E8" s="5">
        <v>17</v>
      </c>
      <c r="F8" s="5">
        <v>6101</v>
      </c>
      <c r="G8" s="5">
        <v>1966</v>
      </c>
      <c r="H8" s="5">
        <v>7562</v>
      </c>
      <c r="I8" s="5">
        <v>2335</v>
      </c>
      <c r="J8" s="5">
        <v>2953</v>
      </c>
      <c r="K8" s="5">
        <v>4661</v>
      </c>
      <c r="L8" s="5">
        <v>748</v>
      </c>
      <c r="M8" s="5">
        <v>40</v>
      </c>
      <c r="N8" s="5">
        <v>0</v>
      </c>
      <c r="O8" s="6">
        <v>26366</v>
      </c>
      <c r="P8" s="14">
        <f t="shared" si="0"/>
        <v>0.2681542654896058</v>
      </c>
    </row>
    <row r="9" spans="1:16" s="7" customFormat="1" x14ac:dyDescent="0.3">
      <c r="A9" s="4" t="s">
        <v>15</v>
      </c>
      <c r="B9" s="4" t="s">
        <v>22</v>
      </c>
      <c r="C9" s="5">
        <v>2</v>
      </c>
      <c r="D9" s="5">
        <v>2</v>
      </c>
      <c r="E9" s="5">
        <v>2</v>
      </c>
      <c r="F9" s="5">
        <v>259</v>
      </c>
      <c r="G9" s="5">
        <v>27</v>
      </c>
      <c r="H9" s="5">
        <v>1208</v>
      </c>
      <c r="I9" s="5">
        <v>606</v>
      </c>
      <c r="J9" s="5">
        <v>157</v>
      </c>
      <c r="K9" s="5">
        <v>995</v>
      </c>
      <c r="L9" s="5">
        <v>220</v>
      </c>
      <c r="M9" s="5">
        <v>4</v>
      </c>
      <c r="N9" s="5">
        <v>0</v>
      </c>
      <c r="O9" s="6">
        <v>3476</v>
      </c>
      <c r="P9" s="13">
        <f t="shared" si="0"/>
        <v>3.5352508034660918E-2</v>
      </c>
    </row>
    <row r="10" spans="1:16" s="7" customFormat="1" x14ac:dyDescent="0.3">
      <c r="A10" s="4" t="s">
        <v>15</v>
      </c>
      <c r="B10" s="4" t="s">
        <v>23</v>
      </c>
      <c r="C10" s="5">
        <v>5</v>
      </c>
      <c r="D10" s="5">
        <v>8</v>
      </c>
      <c r="E10" s="5">
        <v>8</v>
      </c>
      <c r="F10" s="5">
        <v>2970</v>
      </c>
      <c r="G10" s="5">
        <v>1412</v>
      </c>
      <c r="H10" s="5">
        <v>1351</v>
      </c>
      <c r="I10" s="5">
        <v>88</v>
      </c>
      <c r="J10" s="5">
        <v>18</v>
      </c>
      <c r="K10" s="5">
        <v>700</v>
      </c>
      <c r="L10" s="5">
        <v>1237</v>
      </c>
      <c r="M10" s="5">
        <v>21</v>
      </c>
      <c r="N10" s="5">
        <v>0</v>
      </c>
      <c r="O10" s="6">
        <v>7797</v>
      </c>
      <c r="P10" s="14">
        <f t="shared" si="0"/>
        <v>7.9299052113420934E-2</v>
      </c>
    </row>
    <row r="11" spans="1:16" s="7" customFormat="1" x14ac:dyDescent="0.3">
      <c r="A11" s="4" t="s">
        <v>15</v>
      </c>
      <c r="B11" s="4" t="s">
        <v>24</v>
      </c>
      <c r="C11" s="5">
        <v>1</v>
      </c>
      <c r="D11" s="5">
        <v>1</v>
      </c>
      <c r="E11" s="5">
        <v>1</v>
      </c>
      <c r="F11" s="5">
        <v>115</v>
      </c>
      <c r="G11" s="5">
        <v>110</v>
      </c>
      <c r="H11" s="5">
        <v>216</v>
      </c>
      <c r="I11" s="5">
        <v>0</v>
      </c>
      <c r="J11" s="5">
        <v>1</v>
      </c>
      <c r="K11" s="5">
        <v>20</v>
      </c>
      <c r="L11" s="5">
        <v>447</v>
      </c>
      <c r="M11" s="5">
        <v>5</v>
      </c>
      <c r="N11" s="5">
        <v>0</v>
      </c>
      <c r="O11" s="6">
        <v>914</v>
      </c>
      <c r="P11" s="13">
        <f t="shared" si="0"/>
        <v>9.2957975672267202E-3</v>
      </c>
    </row>
    <row r="12" spans="1:16" s="7" customFormat="1" x14ac:dyDescent="0.3">
      <c r="A12" s="4" t="s">
        <v>15</v>
      </c>
      <c r="B12" s="4" t="s">
        <v>25</v>
      </c>
      <c r="C12" s="5">
        <v>3</v>
      </c>
      <c r="D12" s="5">
        <v>9</v>
      </c>
      <c r="E12" s="5">
        <v>9</v>
      </c>
      <c r="F12" s="5">
        <v>133</v>
      </c>
      <c r="G12" s="5">
        <v>81</v>
      </c>
      <c r="H12" s="5">
        <v>901</v>
      </c>
      <c r="I12" s="5">
        <v>72</v>
      </c>
      <c r="J12" s="5">
        <v>1120</v>
      </c>
      <c r="K12" s="5">
        <v>1905</v>
      </c>
      <c r="L12" s="5">
        <v>895</v>
      </c>
      <c r="M12" s="5">
        <v>9</v>
      </c>
      <c r="N12" s="5">
        <v>0</v>
      </c>
      <c r="O12" s="6">
        <v>5116</v>
      </c>
      <c r="P12" s="13">
        <f t="shared" si="0"/>
        <v>5.2032057280013019E-2</v>
      </c>
    </row>
    <row r="13" spans="1:16" s="7" customFormat="1" x14ac:dyDescent="0.3">
      <c r="A13" s="4" t="s">
        <v>15</v>
      </c>
      <c r="B13" s="4" t="s">
        <v>26</v>
      </c>
      <c r="C13" s="5">
        <v>2</v>
      </c>
      <c r="D13" s="5">
        <v>2</v>
      </c>
      <c r="E13" s="5">
        <v>2</v>
      </c>
      <c r="F13" s="5">
        <v>297</v>
      </c>
      <c r="G13" s="5">
        <v>49</v>
      </c>
      <c r="H13" s="5">
        <v>91</v>
      </c>
      <c r="I13" s="5">
        <v>4</v>
      </c>
      <c r="J13" s="5">
        <v>0</v>
      </c>
      <c r="K13" s="5">
        <v>19</v>
      </c>
      <c r="L13" s="5">
        <v>6</v>
      </c>
      <c r="M13" s="5">
        <v>35</v>
      </c>
      <c r="N13" s="5">
        <v>0</v>
      </c>
      <c r="O13" s="6">
        <v>501</v>
      </c>
      <c r="P13" s="13">
        <f t="shared" si="0"/>
        <v>5.0953988853179285E-3</v>
      </c>
    </row>
    <row r="14" spans="1:16" s="7" customFormat="1" x14ac:dyDescent="0.3">
      <c r="A14" s="4" t="s">
        <v>15</v>
      </c>
      <c r="B14" s="4" t="s">
        <v>27</v>
      </c>
      <c r="C14" s="5">
        <v>2</v>
      </c>
      <c r="D14" s="5">
        <v>3</v>
      </c>
      <c r="E14" s="5">
        <v>3</v>
      </c>
      <c r="F14" s="5">
        <v>281</v>
      </c>
      <c r="G14" s="5">
        <v>0</v>
      </c>
      <c r="H14" s="5">
        <v>3369</v>
      </c>
      <c r="I14" s="5">
        <v>1</v>
      </c>
      <c r="J14" s="5">
        <v>934</v>
      </c>
      <c r="K14" s="5">
        <v>2965</v>
      </c>
      <c r="L14" s="5">
        <v>139</v>
      </c>
      <c r="M14" s="5">
        <v>15</v>
      </c>
      <c r="N14" s="5">
        <v>0</v>
      </c>
      <c r="O14" s="6">
        <v>7704</v>
      </c>
      <c r="P14" s="14">
        <f t="shared" si="0"/>
        <v>7.8353199625727191E-2</v>
      </c>
    </row>
    <row r="15" spans="1:16" s="7" customFormat="1" x14ac:dyDescent="0.3">
      <c r="A15" s="4" t="s">
        <v>15</v>
      </c>
      <c r="B15" s="4" t="s">
        <v>28</v>
      </c>
      <c r="C15" s="5">
        <v>2</v>
      </c>
      <c r="D15" s="5">
        <v>2</v>
      </c>
      <c r="E15" s="5">
        <v>2</v>
      </c>
      <c r="F15" s="5">
        <v>89</v>
      </c>
      <c r="G15" s="5">
        <v>108</v>
      </c>
      <c r="H15" s="5">
        <v>20</v>
      </c>
      <c r="I15" s="5">
        <v>12</v>
      </c>
      <c r="J15" s="5">
        <v>0</v>
      </c>
      <c r="K15" s="5">
        <v>0</v>
      </c>
      <c r="L15" s="5">
        <v>189</v>
      </c>
      <c r="M15" s="5">
        <v>6</v>
      </c>
      <c r="N15" s="5">
        <v>0</v>
      </c>
      <c r="O15" s="6">
        <v>424</v>
      </c>
      <c r="P15" s="13">
        <f t="shared" si="0"/>
        <v>4.3122737073349338E-3</v>
      </c>
    </row>
    <row r="16" spans="1:16" s="7" customFormat="1" x14ac:dyDescent="0.3">
      <c r="A16" s="4" t="s">
        <v>15</v>
      </c>
      <c r="B16" s="4" t="s">
        <v>29</v>
      </c>
      <c r="C16" s="5">
        <v>1</v>
      </c>
      <c r="D16" s="5">
        <v>2</v>
      </c>
      <c r="E16" s="5">
        <v>2</v>
      </c>
      <c r="F16" s="5">
        <v>70</v>
      </c>
      <c r="G16" s="5">
        <v>20</v>
      </c>
      <c r="H16" s="5">
        <v>335</v>
      </c>
      <c r="I16" s="5">
        <v>25</v>
      </c>
      <c r="J16" s="5">
        <v>0</v>
      </c>
      <c r="K16" s="5">
        <v>84</v>
      </c>
      <c r="L16" s="5">
        <v>95</v>
      </c>
      <c r="M16" s="5">
        <v>2</v>
      </c>
      <c r="N16" s="5">
        <v>0</v>
      </c>
      <c r="O16" s="6">
        <v>631</v>
      </c>
      <c r="P16" s="13">
        <f t="shared" si="0"/>
        <v>6.4175582767177905E-3</v>
      </c>
    </row>
    <row r="17" spans="1:16" s="7" customFormat="1" x14ac:dyDescent="0.3">
      <c r="A17" s="4" t="s">
        <v>15</v>
      </c>
      <c r="B17" s="4" t="s">
        <v>30</v>
      </c>
      <c r="C17" s="5">
        <v>8</v>
      </c>
      <c r="D17" s="5">
        <v>19</v>
      </c>
      <c r="E17" s="5">
        <v>19</v>
      </c>
      <c r="F17" s="5">
        <v>6852</v>
      </c>
      <c r="G17" s="5">
        <v>4876</v>
      </c>
      <c r="H17" s="5">
        <v>7512</v>
      </c>
      <c r="I17" s="5">
        <v>699</v>
      </c>
      <c r="J17" s="5">
        <v>2037</v>
      </c>
      <c r="K17" s="5">
        <v>6320</v>
      </c>
      <c r="L17" s="5">
        <v>1317</v>
      </c>
      <c r="M17" s="5">
        <v>97</v>
      </c>
      <c r="N17" s="5">
        <v>0</v>
      </c>
      <c r="O17" s="6">
        <v>29710</v>
      </c>
      <c r="P17" s="14">
        <f t="shared" si="0"/>
        <v>0.30216427321915301</v>
      </c>
    </row>
    <row r="18" spans="1:16" x14ac:dyDescent="0.3">
      <c r="B18" s="11" t="s">
        <v>32</v>
      </c>
      <c r="C18" s="8">
        <f>SUM(C3:C17)</f>
        <v>42</v>
      </c>
      <c r="D18" s="8">
        <f t="shared" ref="D18:P18" si="1">SUM(D3:D17)</f>
        <v>77</v>
      </c>
      <c r="E18" s="8">
        <f t="shared" si="1"/>
        <v>77</v>
      </c>
      <c r="F18" s="8">
        <f t="shared" si="1"/>
        <v>19926</v>
      </c>
      <c r="G18" s="8">
        <f t="shared" si="1"/>
        <v>9773</v>
      </c>
      <c r="H18" s="8">
        <f t="shared" si="1"/>
        <v>28654</v>
      </c>
      <c r="I18" s="8">
        <f t="shared" si="1"/>
        <v>3997</v>
      </c>
      <c r="J18" s="8">
        <f t="shared" si="1"/>
        <v>10168</v>
      </c>
      <c r="K18" s="8">
        <f t="shared" si="1"/>
        <v>18992</v>
      </c>
      <c r="L18" s="8">
        <f t="shared" si="1"/>
        <v>6518</v>
      </c>
      <c r="M18" s="8">
        <f t="shared" si="1"/>
        <v>296</v>
      </c>
      <c r="N18" s="8">
        <f t="shared" si="1"/>
        <v>0</v>
      </c>
      <c r="O18" s="8">
        <f t="shared" si="1"/>
        <v>98324</v>
      </c>
      <c r="P18" s="14">
        <f t="shared" si="1"/>
        <v>1</v>
      </c>
    </row>
    <row r="20" spans="1:16" x14ac:dyDescent="0.3">
      <c r="C20" s="16" t="s">
        <v>37</v>
      </c>
    </row>
  </sheetData>
  <autoFilter ref="A2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2026-07-11T18:39:11Z</dcterms:created>
  <dcterms:modified xsi:type="dcterms:W3CDTF">2026-07-19T08:13:05Z</dcterms:modified>
</cp:coreProperties>
</file>