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a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H4" i="2"/>
  <c r="H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5" i="2"/>
  <c r="G30" i="2"/>
  <c r="F30" i="2"/>
</calcChain>
</file>

<file path=xl/sharedStrings.xml><?xml version="1.0" encoding="utf-8"?>
<sst xmlns="http://schemas.openxmlformats.org/spreadsheetml/2006/main" count="67" uniqueCount="41">
  <si>
    <t>Santiago del Estero</t>
  </si>
  <si>
    <t>Aguirre</t>
  </si>
  <si>
    <t>Alberdi</t>
  </si>
  <si>
    <t>Atamisqui</t>
  </si>
  <si>
    <t>Avellaneda</t>
  </si>
  <si>
    <t>Banda</t>
  </si>
  <si>
    <t>Belgrano</t>
  </si>
  <si>
    <t>Capital</t>
  </si>
  <si>
    <t>Choya</t>
  </si>
  <si>
    <t>Copo</t>
  </si>
  <si>
    <t>Figueroa</t>
  </si>
  <si>
    <t>General Taboada</t>
  </si>
  <si>
    <t>Guasayán</t>
  </si>
  <si>
    <t>Jiménez</t>
  </si>
  <si>
    <t>Juan F. Ibarra</t>
  </si>
  <si>
    <t>Loreto</t>
  </si>
  <si>
    <t>Mitre</t>
  </si>
  <si>
    <t>Moreno</t>
  </si>
  <si>
    <t>Ojo de Agua</t>
  </si>
  <si>
    <t>Pellegrini</t>
  </si>
  <si>
    <t>Quebrachos</t>
  </si>
  <si>
    <t>Río Hondo</t>
  </si>
  <si>
    <t>Rivadavia</t>
  </si>
  <si>
    <t>Robles</t>
  </si>
  <si>
    <t>Salavina</t>
  </si>
  <si>
    <t>San Martín</t>
  </si>
  <si>
    <t>Sarmiento</t>
  </si>
  <si>
    <t>Silípica</t>
  </si>
  <si>
    <t>fecha_actualizacion</t>
  </si>
  <si>
    <t>provincia_id</t>
  </si>
  <si>
    <t>provincia</t>
  </si>
  <si>
    <t>departamento_id</t>
  </si>
  <si>
    <t>departamento</t>
  </si>
  <si>
    <t>apiarios</t>
  </si>
  <si>
    <t>colmenas</t>
  </si>
  <si>
    <t>TOTAL PROVINCIA</t>
  </si>
  <si>
    <t>Dado que son datos de sólo 2 variables (apiarios y colmenas) en 1 variable geográfica (departamento) y Totales provinciales, sólo amerita:</t>
  </si>
  <si>
    <t>%</t>
  </si>
  <si>
    <t>Gráfico de articipación porcentual de los 6 marcados en negrita (más relevantes) y el resto agrupados en "resto"</t>
  </si>
  <si>
    <t xml:space="preserve">Volcado de datos en cada departamento </t>
  </si>
  <si>
    <t>Ranking por departamentto (listado, sin gráfico)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</si>
</sst>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0" fontId="0" fillId="0" borderId="0" xfId="0" applyNumberForma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workbookViewId="0">
      <selection activeCell="I12" sqref="I12"/>
    </sheetView>
  </sheetViews>
  <sheetFormatPr baseColWidth="10" defaultRowHeight="14.4" x14ac:dyDescent="0.3"/>
  <sheetData>
    <row r="3" spans="3:4" x14ac:dyDescent="0.3">
      <c r="C3" s="9" t="s">
        <v>36</v>
      </c>
    </row>
    <row r="5" spans="3:4" x14ac:dyDescent="0.3">
      <c r="C5">
        <v>1</v>
      </c>
      <c r="D5" t="s">
        <v>40</v>
      </c>
    </row>
    <row r="6" spans="3:4" x14ac:dyDescent="0.3">
      <c r="C6">
        <v>2</v>
      </c>
      <c r="D6" t="s">
        <v>38</v>
      </c>
    </row>
    <row r="7" spans="3:4" x14ac:dyDescent="0.3">
      <c r="C7">
        <v>3</v>
      </c>
      <c r="D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0"/>
  <sheetViews>
    <sheetView tabSelected="1" workbookViewId="0">
      <pane ySplit="2" topLeftCell="A3" activePane="bottomLeft" state="frozen"/>
      <selection pane="bottomLeft" activeCell="J17" sqref="J17"/>
    </sheetView>
  </sheetViews>
  <sheetFormatPr baseColWidth="10" defaultRowHeight="14.4" x14ac:dyDescent="0.3"/>
  <cols>
    <col min="1" max="1" width="17.6640625" bestFit="1" customWidth="1"/>
    <col min="2" max="2" width="11.33203125" bestFit="1" customWidth="1"/>
    <col min="3" max="3" width="16.6640625" bestFit="1" customWidth="1"/>
    <col min="4" max="4" width="15.6640625" bestFit="1" customWidth="1"/>
    <col min="5" max="5" width="14.88671875" bestFit="1" customWidth="1"/>
    <col min="6" max="6" width="7.5546875" bestFit="1" customWidth="1"/>
    <col min="7" max="7" width="9" bestFit="1" customWidth="1"/>
  </cols>
  <sheetData>
    <row r="2" spans="1:8" s="3" customFormat="1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4" t="s">
        <v>34</v>
      </c>
      <c r="H2" s="6" t="s">
        <v>37</v>
      </c>
    </row>
    <row r="3" spans="1:8" x14ac:dyDescent="0.3">
      <c r="A3" s="1">
        <v>46098</v>
      </c>
      <c r="B3">
        <v>86</v>
      </c>
      <c r="C3" t="s">
        <v>0</v>
      </c>
      <c r="D3">
        <v>86007</v>
      </c>
      <c r="E3" t="s">
        <v>1</v>
      </c>
      <c r="F3">
        <v>57</v>
      </c>
      <c r="G3" s="2">
        <v>4431</v>
      </c>
      <c r="H3" s="7">
        <f t="shared" ref="H3:H4" si="0">G3/$G$30</f>
        <v>4.7330641543292959E-2</v>
      </c>
    </row>
    <row r="4" spans="1:8" x14ac:dyDescent="0.3">
      <c r="A4" s="1">
        <v>46098</v>
      </c>
      <c r="B4">
        <v>86</v>
      </c>
      <c r="C4" t="s">
        <v>0</v>
      </c>
      <c r="D4">
        <v>86014</v>
      </c>
      <c r="E4" t="s">
        <v>2</v>
      </c>
      <c r="F4">
        <v>81</v>
      </c>
      <c r="G4" s="2">
        <v>3457</v>
      </c>
      <c r="H4" s="7">
        <f t="shared" si="0"/>
        <v>3.6926659403106243E-2</v>
      </c>
    </row>
    <row r="5" spans="1:8" x14ac:dyDescent="0.3">
      <c r="A5" s="1">
        <v>46098</v>
      </c>
      <c r="B5">
        <v>86</v>
      </c>
      <c r="C5" t="s">
        <v>0</v>
      </c>
      <c r="D5">
        <v>86021</v>
      </c>
      <c r="E5" t="s">
        <v>3</v>
      </c>
      <c r="F5">
        <v>5</v>
      </c>
      <c r="G5" s="2">
        <v>1050</v>
      </c>
      <c r="H5" s="7">
        <f>G5/$G$30</f>
        <v>1.1215791834903545E-2</v>
      </c>
    </row>
    <row r="6" spans="1:8" x14ac:dyDescent="0.3">
      <c r="A6" s="1">
        <v>46098</v>
      </c>
      <c r="B6">
        <v>86</v>
      </c>
      <c r="C6" t="s">
        <v>0</v>
      </c>
      <c r="D6">
        <v>86028</v>
      </c>
      <c r="E6" t="s">
        <v>4</v>
      </c>
      <c r="F6">
        <v>57</v>
      </c>
      <c r="G6" s="2">
        <v>4820</v>
      </c>
      <c r="H6" s="7">
        <f t="shared" ref="H6:H29" si="1">G6/$G$30</f>
        <v>5.1485825375461987E-2</v>
      </c>
    </row>
    <row r="7" spans="1:8" x14ac:dyDescent="0.3">
      <c r="A7" s="1">
        <v>46098</v>
      </c>
      <c r="B7">
        <v>86</v>
      </c>
      <c r="C7" t="s">
        <v>0</v>
      </c>
      <c r="D7">
        <v>86035</v>
      </c>
      <c r="E7" t="s">
        <v>5</v>
      </c>
      <c r="F7">
        <v>98</v>
      </c>
      <c r="G7" s="2">
        <v>7614</v>
      </c>
      <c r="H7" s="8">
        <f t="shared" si="1"/>
        <v>8.1330513362814841E-2</v>
      </c>
    </row>
    <row r="8" spans="1:8" x14ac:dyDescent="0.3">
      <c r="A8" s="1">
        <v>46098</v>
      </c>
      <c r="B8">
        <v>86</v>
      </c>
      <c r="C8" t="s">
        <v>0</v>
      </c>
      <c r="D8">
        <v>86042</v>
      </c>
      <c r="E8" t="s">
        <v>6</v>
      </c>
      <c r="F8">
        <v>16</v>
      </c>
      <c r="G8" s="2">
        <v>1255</v>
      </c>
      <c r="H8" s="7">
        <f t="shared" si="1"/>
        <v>1.3405541669337093E-2</v>
      </c>
    </row>
    <row r="9" spans="1:8" x14ac:dyDescent="0.3">
      <c r="A9" s="1">
        <v>46098</v>
      </c>
      <c r="B9">
        <v>86</v>
      </c>
      <c r="C9" t="s">
        <v>0</v>
      </c>
      <c r="D9">
        <v>86049</v>
      </c>
      <c r="E9" t="s">
        <v>7</v>
      </c>
      <c r="F9">
        <v>94</v>
      </c>
      <c r="G9" s="2">
        <v>5326</v>
      </c>
      <c r="H9" s="7">
        <f t="shared" si="1"/>
        <v>5.6890768869234547E-2</v>
      </c>
    </row>
    <row r="10" spans="1:8" x14ac:dyDescent="0.3">
      <c r="A10" s="1">
        <v>46098</v>
      </c>
      <c r="B10">
        <v>86</v>
      </c>
      <c r="C10" t="s">
        <v>0</v>
      </c>
      <c r="D10">
        <v>86063</v>
      </c>
      <c r="E10" t="s">
        <v>8</v>
      </c>
      <c r="F10">
        <v>91</v>
      </c>
      <c r="G10" s="2">
        <v>12023</v>
      </c>
      <c r="H10" s="8">
        <f t="shared" si="1"/>
        <v>0.12842615736290031</v>
      </c>
    </row>
    <row r="11" spans="1:8" x14ac:dyDescent="0.3">
      <c r="A11" s="1">
        <v>46098</v>
      </c>
      <c r="B11">
        <v>86</v>
      </c>
      <c r="C11" t="s">
        <v>0</v>
      </c>
      <c r="D11">
        <v>86056</v>
      </c>
      <c r="E11" t="s">
        <v>9</v>
      </c>
      <c r="F11">
        <v>32</v>
      </c>
      <c r="G11" s="2">
        <v>1902</v>
      </c>
      <c r="H11" s="7">
        <f t="shared" si="1"/>
        <v>2.0316605780939564E-2</v>
      </c>
    </row>
    <row r="12" spans="1:8" x14ac:dyDescent="0.3">
      <c r="A12" s="1">
        <v>46098</v>
      </c>
      <c r="B12">
        <v>86</v>
      </c>
      <c r="C12" t="s">
        <v>0</v>
      </c>
      <c r="D12">
        <v>86070</v>
      </c>
      <c r="E12" t="s">
        <v>10</v>
      </c>
      <c r="F12">
        <v>60</v>
      </c>
      <c r="G12" s="2">
        <v>6059</v>
      </c>
      <c r="H12" s="8">
        <f t="shared" si="1"/>
        <v>6.4720459740648162E-2</v>
      </c>
    </row>
    <row r="13" spans="1:8" x14ac:dyDescent="0.3">
      <c r="A13" s="1">
        <v>46098</v>
      </c>
      <c r="B13">
        <v>86</v>
      </c>
      <c r="C13" t="s">
        <v>0</v>
      </c>
      <c r="D13">
        <v>86077</v>
      </c>
      <c r="E13" t="s">
        <v>11</v>
      </c>
      <c r="F13">
        <v>6</v>
      </c>
      <c r="G13" s="2">
        <v>550</v>
      </c>
      <c r="H13" s="7">
        <f t="shared" si="1"/>
        <v>5.8749385801875704E-3</v>
      </c>
    </row>
    <row r="14" spans="1:8" x14ac:dyDescent="0.3">
      <c r="A14" s="1">
        <v>46098</v>
      </c>
      <c r="B14">
        <v>86</v>
      </c>
      <c r="C14" t="s">
        <v>0</v>
      </c>
      <c r="D14">
        <v>86084</v>
      </c>
      <c r="E14" t="s">
        <v>12</v>
      </c>
      <c r="F14">
        <v>46</v>
      </c>
      <c r="G14" s="2">
        <v>2243</v>
      </c>
      <c r="H14" s="7">
        <f t="shared" si="1"/>
        <v>2.3959067700655857E-2</v>
      </c>
    </row>
    <row r="15" spans="1:8" x14ac:dyDescent="0.3">
      <c r="A15" s="1">
        <v>46098</v>
      </c>
      <c r="B15">
        <v>86</v>
      </c>
      <c r="C15" t="s">
        <v>0</v>
      </c>
      <c r="D15">
        <v>86091</v>
      </c>
      <c r="E15" t="s">
        <v>13</v>
      </c>
      <c r="F15">
        <v>34</v>
      </c>
      <c r="G15" s="2">
        <v>1262</v>
      </c>
      <c r="H15" s="7">
        <f t="shared" si="1"/>
        <v>1.3480313614903117E-2</v>
      </c>
    </row>
    <row r="16" spans="1:8" x14ac:dyDescent="0.3">
      <c r="A16" s="1">
        <v>46098</v>
      </c>
      <c r="B16">
        <v>86</v>
      </c>
      <c r="C16" t="s">
        <v>0</v>
      </c>
      <c r="D16">
        <v>86098</v>
      </c>
      <c r="E16" t="s">
        <v>14</v>
      </c>
      <c r="F16">
        <v>13</v>
      </c>
      <c r="G16" s="2">
        <v>720</v>
      </c>
      <c r="H16" s="7">
        <f t="shared" si="1"/>
        <v>7.6908286867910019E-3</v>
      </c>
    </row>
    <row r="17" spans="1:8" x14ac:dyDescent="0.3">
      <c r="A17" s="1">
        <v>46098</v>
      </c>
      <c r="B17">
        <v>86</v>
      </c>
      <c r="C17" t="s">
        <v>0</v>
      </c>
      <c r="D17">
        <v>86105</v>
      </c>
      <c r="E17" t="s">
        <v>15</v>
      </c>
      <c r="F17">
        <v>47</v>
      </c>
      <c r="G17" s="2">
        <v>5454</v>
      </c>
      <c r="H17" s="7">
        <f t="shared" si="1"/>
        <v>5.8258027302441839E-2</v>
      </c>
    </row>
    <row r="18" spans="1:8" x14ac:dyDescent="0.3">
      <c r="A18" s="1">
        <v>46098</v>
      </c>
      <c r="B18">
        <v>86</v>
      </c>
      <c r="C18" t="s">
        <v>0</v>
      </c>
      <c r="D18">
        <v>86112</v>
      </c>
      <c r="E18" t="s">
        <v>16</v>
      </c>
      <c r="F18">
        <v>6</v>
      </c>
      <c r="G18" s="2">
        <v>440</v>
      </c>
      <c r="H18" s="7">
        <f t="shared" si="1"/>
        <v>4.6999508641500567E-3</v>
      </c>
    </row>
    <row r="19" spans="1:8" x14ac:dyDescent="0.3">
      <c r="A19" s="1">
        <v>46098</v>
      </c>
      <c r="B19">
        <v>86</v>
      </c>
      <c r="C19" t="s">
        <v>0</v>
      </c>
      <c r="D19">
        <v>86119</v>
      </c>
      <c r="E19" t="s">
        <v>17</v>
      </c>
      <c r="F19">
        <v>30</v>
      </c>
      <c r="G19" s="2">
        <v>1337</v>
      </c>
      <c r="H19" s="7">
        <f t="shared" si="1"/>
        <v>1.4281441603110514E-2</v>
      </c>
    </row>
    <row r="20" spans="1:8" x14ac:dyDescent="0.3">
      <c r="A20" s="1">
        <v>46098</v>
      </c>
      <c r="B20">
        <v>86</v>
      </c>
      <c r="C20" t="s">
        <v>0</v>
      </c>
      <c r="D20">
        <v>86126</v>
      </c>
      <c r="E20" t="s">
        <v>18</v>
      </c>
      <c r="F20">
        <v>19</v>
      </c>
      <c r="G20" s="2">
        <v>1308</v>
      </c>
      <c r="H20" s="7">
        <f t="shared" si="1"/>
        <v>1.3971672114336987E-2</v>
      </c>
    </row>
    <row r="21" spans="1:8" x14ac:dyDescent="0.3">
      <c r="A21" s="1">
        <v>46098</v>
      </c>
      <c r="B21">
        <v>86</v>
      </c>
      <c r="C21" t="s">
        <v>0</v>
      </c>
      <c r="D21">
        <v>86133</v>
      </c>
      <c r="E21" t="s">
        <v>19</v>
      </c>
      <c r="F21">
        <v>6</v>
      </c>
      <c r="G21" s="2">
        <v>206</v>
      </c>
      <c r="H21" s="7">
        <f t="shared" si="1"/>
        <v>2.200431540942981E-3</v>
      </c>
    </row>
    <row r="22" spans="1:8" x14ac:dyDescent="0.3">
      <c r="A22" s="1">
        <v>46098</v>
      </c>
      <c r="B22">
        <v>86</v>
      </c>
      <c r="C22" t="s">
        <v>0</v>
      </c>
      <c r="D22">
        <v>86140</v>
      </c>
      <c r="E22" t="s">
        <v>20</v>
      </c>
      <c r="F22">
        <v>19</v>
      </c>
      <c r="G22" s="2">
        <v>2073</v>
      </c>
      <c r="H22" s="7">
        <f t="shared" si="1"/>
        <v>2.2143177594052425E-2</v>
      </c>
    </row>
    <row r="23" spans="1:8" x14ac:dyDescent="0.3">
      <c r="A23" s="1">
        <v>46098</v>
      </c>
      <c r="B23">
        <v>86</v>
      </c>
      <c r="C23" t="s">
        <v>0</v>
      </c>
      <c r="D23">
        <v>86147</v>
      </c>
      <c r="E23" t="s">
        <v>21</v>
      </c>
      <c r="F23">
        <v>54</v>
      </c>
      <c r="G23" s="2">
        <v>2809</v>
      </c>
      <c r="H23" s="7">
        <f t="shared" si="1"/>
        <v>3.0004913584994339E-2</v>
      </c>
    </row>
    <row r="24" spans="1:8" x14ac:dyDescent="0.3">
      <c r="A24" s="1">
        <v>46098</v>
      </c>
      <c r="B24">
        <v>86</v>
      </c>
      <c r="C24" t="s">
        <v>0</v>
      </c>
      <c r="D24">
        <v>86154</v>
      </c>
      <c r="E24" t="s">
        <v>22</v>
      </c>
      <c r="F24">
        <v>102</v>
      </c>
      <c r="G24" s="2">
        <v>7678</v>
      </c>
      <c r="H24" s="8">
        <f t="shared" si="1"/>
        <v>8.2014142579418484E-2</v>
      </c>
    </row>
    <row r="25" spans="1:8" x14ac:dyDescent="0.3">
      <c r="A25" s="1">
        <v>46098</v>
      </c>
      <c r="B25">
        <v>86</v>
      </c>
      <c r="C25" t="s">
        <v>0</v>
      </c>
      <c r="D25">
        <v>86161</v>
      </c>
      <c r="E25" t="s">
        <v>23</v>
      </c>
      <c r="F25">
        <v>92</v>
      </c>
      <c r="G25" s="2">
        <v>8528</v>
      </c>
      <c r="H25" s="8">
        <f t="shared" si="1"/>
        <v>9.1093593112435645E-2</v>
      </c>
    </row>
    <row r="26" spans="1:8" x14ac:dyDescent="0.3">
      <c r="A26" s="1">
        <v>46098</v>
      </c>
      <c r="B26">
        <v>86</v>
      </c>
      <c r="C26" t="s">
        <v>0</v>
      </c>
      <c r="D26">
        <v>86168</v>
      </c>
      <c r="E26" t="s">
        <v>24</v>
      </c>
      <c r="F26">
        <v>5</v>
      </c>
      <c r="G26" s="2">
        <v>575</v>
      </c>
      <c r="H26" s="7">
        <f t="shared" si="1"/>
        <v>6.1419812429233693E-3</v>
      </c>
    </row>
    <row r="27" spans="1:8" x14ac:dyDescent="0.3">
      <c r="A27" s="1">
        <v>46098</v>
      </c>
      <c r="B27">
        <v>86</v>
      </c>
      <c r="C27" t="s">
        <v>0</v>
      </c>
      <c r="D27">
        <v>86175</v>
      </c>
      <c r="E27" t="s">
        <v>25</v>
      </c>
      <c r="F27">
        <v>37</v>
      </c>
      <c r="G27" s="2">
        <v>3078</v>
      </c>
      <c r="H27" s="7">
        <f t="shared" si="1"/>
        <v>3.2878292636031529E-2</v>
      </c>
    </row>
    <row r="28" spans="1:8" x14ac:dyDescent="0.3">
      <c r="A28" s="1">
        <v>46098</v>
      </c>
      <c r="B28">
        <v>86</v>
      </c>
      <c r="C28" t="s">
        <v>0</v>
      </c>
      <c r="D28">
        <v>86182</v>
      </c>
      <c r="E28" t="s">
        <v>26</v>
      </c>
      <c r="F28">
        <v>33</v>
      </c>
      <c r="G28" s="2">
        <v>1574</v>
      </c>
      <c r="H28" s="7">
        <f t="shared" si="1"/>
        <v>1.6813006045845885E-2</v>
      </c>
    </row>
    <row r="29" spans="1:8" x14ac:dyDescent="0.3">
      <c r="A29" s="1">
        <v>46098</v>
      </c>
      <c r="B29">
        <v>86</v>
      </c>
      <c r="C29" t="s">
        <v>0</v>
      </c>
      <c r="D29">
        <v>86189</v>
      </c>
      <c r="E29" t="s">
        <v>27</v>
      </c>
      <c r="F29">
        <v>71</v>
      </c>
      <c r="G29" s="2">
        <v>5846</v>
      </c>
      <c r="H29" s="8">
        <f t="shared" si="1"/>
        <v>6.2445256254139159E-2</v>
      </c>
    </row>
    <row r="30" spans="1:8" x14ac:dyDescent="0.3">
      <c r="E30" s="5" t="s">
        <v>35</v>
      </c>
      <c r="F30" s="4">
        <f>SUM(F3:F29)</f>
        <v>1211</v>
      </c>
      <c r="G30" s="4">
        <f>SUM(G3:G29)</f>
        <v>93618</v>
      </c>
      <c r="H30" s="8">
        <f>SUM(H3:H29)</f>
        <v>1.0000000000000002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2026-07-05T01:12:17Z</dcterms:created>
  <dcterms:modified xsi:type="dcterms:W3CDTF">2026-07-16T20:47:30Z</dcterms:modified>
</cp:coreProperties>
</file>